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extended-stewing-time</t>
        </is>
      </c>
    </row>
    <row r="4">
      <c r="A4" s="2" t="inlineStr">
        <is>
          <t>Export Date</t>
        </is>
      </c>
      <c r="B4" s="2" t="inlineStr">
        <is>
          <t>2026-03-08T22:21:13.364Z</t>
        </is>
      </c>
    </row>
    <row r="5">
      <c r="A5" s="2" t="inlineStr">
        <is>
          <t>Generation Date</t>
        </is>
      </c>
      <c r="B5" s="2" t="inlineStr">
        <is>
          <t>2026-03-10T07:11:01.941907</t>
        </is>
      </c>
    </row>
    <row r="6">
      <c r="A6" s="2" t="inlineStr">
        <is>
          <t>Iterations</t>
        </is>
      </c>
      <c r="B6" s="2" t="n">
        <v>100</v>
      </c>
    </row>
    <row r="7">
      <c r="A7" s="2" t="inlineStr">
        <is>
          <t>Current Iteration</t>
        </is>
      </c>
      <c r="B7" s="2" t="n">
        <v>100</v>
      </c>
    </row>
    <row r="8">
      <c r="A8" s="2" t="inlineStr">
        <is>
          <t>REI</t>
        </is>
      </c>
      <c r="B8" s="2" t="n">
        <v>0.6068112579111103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302.3403441682603</v>
      </c>
      <c r="C3" s="7" t="n">
        <v>2.842170943040401e-13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7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49.35086042065002</v>
      </c>
      <c r="C6" s="7" t="n">
        <v>7.105427357601002e-14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20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0.129314646868715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0.1274966110423952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0.05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8.924379748573152e-17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4.996003610813204e-17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0.6068112579111103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-1</v>
      </c>
      <c r="E2" s="7" t="n">
        <v>0</v>
      </c>
      <c r="F2" s="8">
        <f>D2*(0.5+0.5*E2)</f>
        <v/>
      </c>
      <c r="G2" s="7" t="inlineStr">
        <is>
          <t>dampening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100</v>
      </c>
      <c r="D3" s="8">
        <f>SUM(C$3:C$7)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</v>
      </c>
      <c r="D4" s="8">
        <f>SUM(C$3:C$7)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</v>
      </c>
      <c r="D5" s="8">
        <f>SUM(C$3:C$7)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precondition</t>
        </is>
      </c>
      <c r="B6" s="7" t="inlineStr">
        <is>
          <t>precondition</t>
        </is>
      </c>
      <c r="C6" s="7" t="n">
        <v>100</v>
      </c>
      <c r="D6" s="8">
        <f>SUM(C$3:C$7)</f>
        <v/>
      </c>
      <c r="E6" s="8">
        <f>IF(D6=0,0,C6/D6)</f>
        <v/>
      </c>
      <c r="F6" s="8">
        <f>IF(E6&lt;=0,0,-E6*LOG(E6,2))</f>
        <v/>
      </c>
    </row>
    <row r="7">
      <c r="A7" s="7" t="inlineStr">
        <is>
          <t>resource</t>
        </is>
      </c>
      <c r="B7" s="7" t="inlineStr">
        <is>
          <t>resource</t>
        </is>
      </c>
      <c r="C7" s="7" t="n">
        <v>100</v>
      </c>
      <c r="D7" s="8">
        <f>SUM(C$3:C$7)</f>
        <v/>
      </c>
      <c r="E7" s="8">
        <f>IF(D7=0,0,C7/D7)</f>
        <v/>
      </c>
      <c r="F7" s="8">
        <f>IF(E7&lt;=0,0,-E7*LOG(E7,2))</f>
        <v/>
      </c>
    </row>
    <row r="8">
      <c r="A8" s="12" t="inlineStr">
        <is>
          <t>H_aspect</t>
        </is>
      </c>
      <c r="F8" s="10">
        <f>SUM(F3:F7)</f>
        <v/>
      </c>
    </row>
    <row r="9">
      <c r="A9" t="inlineStr">
        <is>
          <t>H_max (log₂(N))</t>
        </is>
      </c>
      <c r="F9" s="8">
        <f>LOG(5,2)</f>
        <v/>
      </c>
    </row>
    <row r="10">
      <c r="A10" t="inlineStr">
        <is>
          <t>H_norm (= H/H_max)</t>
        </is>
      </c>
      <c r="F10" s="10">
        <f>IF(F9=0,0,F8/F9)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1</v>
      </c>
      <c r="E3" s="7" t="inlineStr">
        <is>
          <t>dampening</t>
        </is>
      </c>
      <c r="F3" s="8">
        <f>PRODUCT(G3)</f>
        <v/>
      </c>
      <c r="G3" t="n">
        <v>1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1</v>
      </c>
      <c r="C8" s="7" t="n">
        <v>0</v>
      </c>
      <c r="D8" s="8">
        <f>IF(B8=0,0,1-(ABS(C8)/ABS(B8)))</f>
        <v/>
      </c>
      <c r="E8" s="7" t="n">
        <v>1.439777806716386e-15</v>
      </c>
      <c r="F8" s="7" t="inlineStr">
        <is>
          <t>strong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254.0987435127015</v>
      </c>
      <c r="B5" t="n">
        <v>351.7411432083034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302.3403441682603</v>
      </c>
      <c r="C10" s="7" t="n">
        <v>9.400567929031193e-16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7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49.35086042065002</v>
      </c>
      <c r="C13" s="7" t="n">
        <v>1.439777806716386e-15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20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1.439777806716386e-15</v>
      </c>
      <c r="D2" s="7" t="n">
        <v>49.35086042065002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9.400567929031193e-16</v>
      </c>
      <c r="D3" s="7" t="n">
        <v>302.3403441682603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7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20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Direct</t>
        </is>
      </c>
    </row>
    <row r="5">
      <c r="A5" s="7" t="inlineStr">
        <is>
          <t>Was Recursive</t>
        </is>
      </c>
      <c r="B5" s="7" t="inlineStr">
        <is>
          <t>False</t>
        </is>
      </c>
    </row>
    <row r="6">
      <c r="A6" s="7" t="inlineStr">
        <is>
          <t>Convergence Iterations</t>
        </is>
      </c>
      <c r="B6" s="7" t="n">
        <v>1</v>
      </c>
    </row>
    <row r="7">
      <c r="A7" s="7" t="inlineStr">
        <is>
          <t>Convergence Residual</t>
        </is>
      </c>
      <c r="B7" s="7" t="n">
        <v>7.888609052210118e-31</v>
      </c>
    </row>
    <row r="8">
      <c r="A8" s="7" t="inlineStr">
        <is>
          <t>Amplification Factor</t>
        </is>
      </c>
      <c r="B8" s="7" t="n">
        <v>1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</v>
      </c>
    </row>
    <row r="16">
      <c r="A16" t="inlineStr">
        <is>
          <t>Interpretation</t>
        </is>
      </c>
      <c r="B16" s="7" t="inlineStr">
        <is>
          <t>No amplification — entropy is self-consistent</t>
        </is>
      </c>
    </row>
    <row r="18">
      <c r="A18" s="9" t="inlineStr">
        <is>
          <t>FlowFRAM Description</t>
        </is>
      </c>
    </row>
    <row r="19">
      <c r="A19" t="inlineStr">
        <is>
          <t>Single-pass (insufficient neighbor data for iterative propagation)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3.33066907387547e-16</v>
      </c>
    </row>
    <row r="5">
      <c r="A5" s="7" t="inlineStr">
        <is>
          <t>FRC (Functional Resonance Coupling)</t>
        </is>
      </c>
      <c r="B5" s="7" t="n">
        <v>0.5</v>
      </c>
    </row>
    <row r="6">
      <c r="A6" s="7" t="inlineStr">
        <is>
          <t>ES (Entropy Synchronization)</t>
        </is>
      </c>
      <c r="B6" s="7" t="n">
        <v>5.949586499048768e-16</v>
      </c>
    </row>
    <row r="8">
      <c r="A8" s="9" t="inlineStr">
        <is>
          <t>Linear REI</t>
        </is>
      </c>
      <c r="B8" s="7" t="n">
        <v>0.6068112579111103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8.326672684688675e-18</v>
      </c>
      <c r="C12" s="8">
        <f>B4*B5</f>
        <v/>
      </c>
    </row>
    <row r="13">
      <c r="A13" s="7" t="inlineStr">
        <is>
          <t>FOV × ES</t>
        </is>
      </c>
      <c r="B13" s="7" t="n">
        <v>9.908051877364381e-33</v>
      </c>
      <c r="C13" s="8">
        <f>B4*B6</f>
        <v/>
      </c>
    </row>
    <row r="14">
      <c r="A14" s="7" t="inlineStr">
        <is>
          <t>FRC × ES</t>
        </is>
      </c>
      <c r="B14" s="7" t="n">
        <v>1.487396624762192e-17</v>
      </c>
      <c r="C14" s="8">
        <f>B5*B6</f>
        <v/>
      </c>
    </row>
    <row r="15">
      <c r="A15" s="9" t="inlineStr">
        <is>
          <t>Total Interactions</t>
        </is>
      </c>
      <c r="B15" s="7" t="n">
        <v>2.320063893231061e-17</v>
      </c>
      <c r="C15" s="8">
        <f>SUM(B12:B14)</f>
        <v/>
      </c>
    </row>
    <row r="17">
      <c r="A17" s="12" t="inlineStr">
        <is>
          <t>Non-Linear REI</t>
        </is>
      </c>
      <c r="B17" s="10" t="n">
        <v>0.6068112579111103</v>
      </c>
      <c r="C17" s="10">
        <f>B8+B15</f>
        <v/>
      </c>
    </row>
    <row r="18">
      <c r="A18" t="inlineStr">
        <is>
          <t>Interaction % of Total</t>
        </is>
      </c>
      <c r="B18" s="15" t="n">
        <v>3.823369891352475e-15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0.6068112579111103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9.400567929031193e-16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1.439777806716386e-15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TEMPERATURE</t>
        </is>
      </c>
      <c r="B2" s="7" t="n">
        <v>100</v>
      </c>
      <c r="C2" s="7" t="n">
        <v>91.70172084130019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91.70172084130019</v>
      </c>
      <c r="H2" s="7" t="n">
        <v>91.70172084130019</v>
      </c>
      <c r="I2" s="8">
        <f>H2-G2</f>
        <v/>
      </c>
      <c r="J2" s="7" t="n">
        <v>91.70172084130019</v>
      </c>
      <c r="K2" s="7" t="n">
        <v>91.70172084130019</v>
      </c>
      <c r="L2" s="7" t="n">
        <v>91.70172084130019</v>
      </c>
      <c r="M2" s="7" t="n">
        <v>91.70172084130019</v>
      </c>
      <c r="N2" s="7" t="n">
        <v>91.70172084130019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2026-03-10T10:11:01Z</dcterms:created>
  <dcterms:modified xmlns:dcterms="http://purl.org/dc/terms/" xmlns:xsi="http://www.w3.org/2001/XMLSchema-instance" xsi:type="dcterms:W3CDTF">2026-03-10T10:11:01Z</dcterms:modified>
</cp:coreProperties>
</file>