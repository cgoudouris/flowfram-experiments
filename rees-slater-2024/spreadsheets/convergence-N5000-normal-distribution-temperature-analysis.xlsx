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convergence-N5000-normal-distribution-temperature</t>
        </is>
      </c>
    </row>
    <row r="4">
      <c r="A4" s="2" t="inlineStr">
        <is>
          <t>Export Date</t>
        </is>
      </c>
      <c r="B4" s="2" t="inlineStr">
        <is>
          <t>2026-03-09T18:56:47.186Z</t>
        </is>
      </c>
    </row>
    <row r="5">
      <c r="A5" s="2" t="inlineStr">
        <is>
          <t>Generation Date</t>
        </is>
      </c>
      <c r="B5" s="2" t="inlineStr">
        <is>
          <t>2026-03-10T07:11:01.888503</t>
        </is>
      </c>
    </row>
    <row r="6">
      <c r="A6" s="2" t="inlineStr">
        <is>
          <t>Iterations</t>
        </is>
      </c>
      <c r="B6" s="2" t="n">
        <v>5000</v>
      </c>
    </row>
    <row r="7">
      <c r="A7" s="2" t="inlineStr">
        <is>
          <t>Current Iteration</t>
        </is>
      </c>
      <c r="B7" s="2" t="n">
        <v>5000</v>
      </c>
    </row>
    <row r="8">
      <c r="A8" s="2" t="inlineStr">
        <is>
          <t>REI</t>
        </is>
      </c>
      <c r="B8" s="2" t="n">
        <v>0.6421356803674613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5000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498.3066518748849</v>
      </c>
      <c r="C3" s="7" t="n">
        <v>1.986507122729524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5000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5000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5000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47.26662968721013</v>
      </c>
      <c r="C6" s="7" t="n">
        <v>4.966267806823813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5000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5000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5000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0.1000000000000002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0.004122717507547166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0.002318798928827476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0.6421356803674613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1.000000000000002</v>
      </c>
      <c r="E2" s="7" t="n">
        <v>0.9999999999999999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15000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10000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5000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5000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1.000000000000002</v>
      </c>
      <c r="E3" s="7" t="inlineStr">
        <is>
          <t>amplifying</t>
        </is>
      </c>
      <c r="F3" s="8">
        <f>PRODUCT(G3)</f>
        <v/>
      </c>
      <c r="G3" t="n">
        <v>1.000000000000002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1.000000000000002</v>
      </c>
      <c r="C8" s="7" t="n">
        <v>0</v>
      </c>
      <c r="D8" s="8">
        <f>IF(B8=0,0,1-(ABS(C8)/ABS(B8)))</f>
        <v/>
      </c>
      <c r="E8" s="7" t="n">
        <v>0.1050692177480899</v>
      </c>
      <c r="F8" s="7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421.2247545088707</v>
      </c>
      <c r="B5" t="n">
        <v>429.8334167456304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498.3066518748849</v>
      </c>
      <c r="C10" s="7" t="n">
        <v>0.003986515362087314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47.26662968721013</v>
      </c>
      <c r="C13" s="7" t="n">
        <v>0.1050692177480899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0.1050692177480899</v>
      </c>
      <c r="D2" s="7" t="n">
        <v>47.26662968721013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0.003986515362087314</v>
      </c>
      <c r="D3" s="7" t="n">
        <v>498.3066518748849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7</v>
      </c>
    </row>
    <row r="7">
      <c r="A7" s="7" t="inlineStr">
        <is>
          <t>Convergence Residual</t>
        </is>
      </c>
      <c r="B7" s="7" t="n">
        <v>5.378753588636265e-07</v>
      </c>
    </row>
    <row r="8">
      <c r="A8" s="7" t="inlineStr">
        <is>
          <t>Amplification Factor</t>
        </is>
      </c>
      <c r="B8" s="7" t="n">
        <v>1.008100449185201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1.008100449185201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7 iterations (residual=5.4e-7).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0.0154586595255165</v>
      </c>
    </row>
    <row r="5">
      <c r="A5" s="7" t="inlineStr">
        <is>
          <t>FRC (Functional Resonance Coupling)</t>
        </is>
      </c>
      <c r="B5" s="7" t="n">
        <v>1.000000000000002</v>
      </c>
    </row>
    <row r="6">
      <c r="A6" s="7" t="inlineStr">
        <is>
          <t>ES (Entropy Synchronization)</t>
        </is>
      </c>
      <c r="B6" s="7" t="n">
        <v>0.02748478338364778</v>
      </c>
    </row>
    <row r="8">
      <c r="A8" s="9" t="inlineStr">
        <is>
          <t>Linear REI</t>
        </is>
      </c>
      <c r="B8" s="7" t="n">
        <v>0.63996726432658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0.0007729329762758265</v>
      </c>
      <c r="C12" s="8">
        <f>B4*B5</f>
        <v/>
      </c>
    </row>
    <row r="13">
      <c r="A13" s="7" t="inlineStr">
        <is>
          <t>FOV × ES</t>
        </is>
      </c>
      <c r="B13" s="7" t="n">
        <v>2.124389542301923e-05</v>
      </c>
      <c r="C13" s="8">
        <f>B4*B6</f>
        <v/>
      </c>
    </row>
    <row r="14">
      <c r="A14" s="7" t="inlineStr">
        <is>
          <t>FRC × ES</t>
        </is>
      </c>
      <c r="B14" s="7" t="n">
        <v>0.001374239169182391</v>
      </c>
      <c r="C14" s="8">
        <f>B5*B6</f>
        <v/>
      </c>
    </row>
    <row r="15">
      <c r="A15" s="9" t="inlineStr">
        <is>
          <t>Total Interactions</t>
        </is>
      </c>
      <c r="B15" s="7" t="n">
        <v>0.002168416040881237</v>
      </c>
      <c r="C15" s="8">
        <f>SUM(B12:B14)</f>
        <v/>
      </c>
    </row>
    <row r="17">
      <c r="A17" s="12" t="inlineStr">
        <is>
          <t>Non-Linear REI</t>
        </is>
      </c>
      <c r="B17" s="10" t="n">
        <v>0.6421356803674613</v>
      </c>
      <c r="C17" s="10">
        <f>B8+B15</f>
        <v/>
      </c>
    </row>
    <row r="18">
      <c r="A18" t="inlineStr">
        <is>
          <t>Interaction % of Total</t>
        </is>
      </c>
      <c r="B18" s="15" t="n">
        <v>0.3388323374888561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0.6421356803674613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0.003986515362087314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0.1050692177480899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5000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5000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5000</v>
      </c>
      <c r="C4" s="7" t="n">
        <v>19.83153853312016</v>
      </c>
      <c r="D4" s="7" t="n">
        <v>9.933529016221859</v>
      </c>
      <c r="E4" s="8">
        <f>IF(C4=0,"N/A",D4/C4)</f>
        <v/>
      </c>
      <c r="F4" s="8">
        <f>IF(C4=0,"N/A",E4*100)</f>
        <v/>
      </c>
      <c r="G4" s="7" t="n">
        <v>-14.81911763866759</v>
      </c>
      <c r="H4" s="7" t="n">
        <v>57.40395843512599</v>
      </c>
      <c r="I4" s="8">
        <f>H4-G4</f>
        <v/>
      </c>
      <c r="J4" s="7" t="n">
        <v>3.378844238931654</v>
      </c>
      <c r="K4" s="7" t="n">
        <v>13.02637983010775</v>
      </c>
      <c r="L4" s="7" t="n">
        <v>19.95369975087186</v>
      </c>
      <c r="M4" s="7" t="n">
        <v>26.47144069819053</v>
      </c>
      <c r="N4" s="7" t="n">
        <v>36.39173385887377</v>
      </c>
    </row>
    <row r="5">
      <c r="A5" s="7" t="inlineStr">
        <is>
          <t>TEMPERATURE</t>
        </is>
      </c>
      <c r="B5" s="7" t="n">
        <v>5000</v>
      </c>
      <c r="C5" s="7" t="n">
        <v>91.53325937442023</v>
      </c>
      <c r="D5" s="7" t="n">
        <v>9.933529016221851</v>
      </c>
      <c r="E5" s="8">
        <f>IF(C5=0,"N/A",D5/C5)</f>
        <v/>
      </c>
      <c r="F5" s="8">
        <f>IF(C5=0,"N/A",E5*100)</f>
        <v/>
      </c>
      <c r="G5" s="7" t="n">
        <v>56.88260320263259</v>
      </c>
      <c r="H5" s="7" t="n">
        <v>129.1056792764262</v>
      </c>
      <c r="I5" s="8">
        <f>H5-G5</f>
        <v/>
      </c>
      <c r="J5" s="7" t="n">
        <v>75.08056508023185</v>
      </c>
      <c r="K5" s="7" t="n">
        <v>84.72810067140794</v>
      </c>
      <c r="L5" s="7" t="n">
        <v>91.65542059217205</v>
      </c>
      <c r="M5" s="7" t="n">
        <v>98.17316153949071</v>
      </c>
      <c r="N5" s="7" t="n">
        <v>108.093454700174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2026-03-10T10:11:01Z</dcterms:created>
  <dcterms:modified xmlns:dcterms="http://purl.org/dc/terms/" xmlns:xsi="http://www.w3.org/2001/XMLSchema-instance" xsi:type="dcterms:W3CDTF">2026-03-10T10:11:01Z</dcterms:modified>
</cp:coreProperties>
</file>