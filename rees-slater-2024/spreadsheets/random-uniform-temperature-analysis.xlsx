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random-uniform-temperature</t>
        </is>
      </c>
    </row>
    <row r="4">
      <c r="A4" s="2" t="inlineStr">
        <is>
          <t>Export Date</t>
        </is>
      </c>
      <c r="B4" s="2" t="inlineStr">
        <is>
          <t>2026-03-09T17:44:21.501Z</t>
        </is>
      </c>
    </row>
    <row r="5">
      <c r="A5" s="2" t="inlineStr">
        <is>
          <t>Generation Date</t>
        </is>
      </c>
      <c r="B5" s="2" t="inlineStr">
        <is>
          <t>2026-03-10T07:11:02.337744</t>
        </is>
      </c>
    </row>
    <row r="6">
      <c r="A6" s="2" t="inlineStr">
        <is>
          <t>Iterations</t>
        </is>
      </c>
      <c r="B6" s="2" t="n">
        <v>10000</v>
      </c>
    </row>
    <row r="7">
      <c r="A7" s="2" t="inlineStr">
        <is>
          <t>Current Iteration</t>
        </is>
      </c>
      <c r="B7" s="2" t="n">
        <v>10000</v>
      </c>
    </row>
    <row r="8">
      <c r="A8" s="2" t="inlineStr">
        <is>
          <t>REI</t>
        </is>
      </c>
      <c r="B8" s="2" t="n">
        <v>0.6389808458087499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498.4348241682557</v>
      </c>
      <c r="C3" s="7" t="n">
        <v>1.269129437685528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47.58706042065762</v>
      </c>
      <c r="C6" s="7" t="n">
        <v>3.172823594213837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0.09999999999999891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0.002608922904053824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0.00147598265990988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0.6389808458087499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0.999999999999989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0.999999999999989</v>
      </c>
      <c r="E3" s="7" t="inlineStr">
        <is>
          <t>amplifying</t>
        </is>
      </c>
      <c r="F3" s="8">
        <f>PRODUCT(G3)</f>
        <v/>
      </c>
      <c r="G3" t="n">
        <v>0.999999999999989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0.999999999999989</v>
      </c>
      <c r="C8" s="7" t="n">
        <v>0</v>
      </c>
      <c r="D8" s="8">
        <f>IF(B8=0,0,1-(ABS(C8)/ABS(B8)))</f>
        <v/>
      </c>
      <c r="E8" s="7" t="n">
        <v>0.06667408253770826</v>
      </c>
      <c r="F8" s="7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421.2888406555591</v>
      </c>
      <c r="B5" t="n">
        <v>429.7908001646041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498.4348241682557</v>
      </c>
      <c r="C10" s="7" t="n">
        <v>0.002546229469025043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47.58706042065762</v>
      </c>
      <c r="C13" s="7" t="n">
        <v>0.06667408253770826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0.06667408253770826</v>
      </c>
      <c r="D2" s="7" t="n">
        <v>47.58706042065762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0.002546229469025043</v>
      </c>
      <c r="D3" s="7" t="n">
        <v>498.4348241682557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6</v>
      </c>
    </row>
    <row r="7">
      <c r="A7" s="7" t="inlineStr">
        <is>
          <t>Convergence Residual</t>
        </is>
      </c>
      <c r="B7" s="7" t="n">
        <v>5.164875731544782e-07</v>
      </c>
    </row>
    <row r="8">
      <c r="A8" s="7" t="inlineStr">
        <is>
          <t>Amplification Factor</t>
        </is>
      </c>
      <c r="B8" s="7" t="n">
        <v>1.005070266581114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1.005070266581114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6 iterations (residual=5.2e-7).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0.009839884399399201</v>
      </c>
    </row>
    <row r="5">
      <c r="A5" s="7" t="inlineStr">
        <is>
          <t>FRC (Functional Resonance Coupling)</t>
        </is>
      </c>
      <c r="B5" s="7" t="n">
        <v>0.999999999999989</v>
      </c>
    </row>
    <row r="6">
      <c r="A6" s="7" t="inlineStr">
        <is>
          <t>ES (Entropy Synchronization)</t>
        </is>
      </c>
      <c r="B6" s="7" t="n">
        <v>0.01739281936035883</v>
      </c>
    </row>
    <row r="8">
      <c r="A8" s="9" t="inlineStr">
        <is>
          <t>Linear REI</t>
        </is>
      </c>
      <c r="B8" s="7" t="n">
        <v>0.6376106534541678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0.0004919942199699546</v>
      </c>
      <c r="C12" s="8">
        <f>B4*B5</f>
        <v/>
      </c>
    </row>
    <row r="13">
      <c r="A13" s="7" t="inlineStr">
        <is>
          <t>FOV × ES</t>
        </is>
      </c>
      <c r="B13" s="7" t="n">
        <v>8.55716659427816e-06</v>
      </c>
      <c r="C13" s="8">
        <f>B4*B6</f>
        <v/>
      </c>
    </row>
    <row r="14">
      <c r="A14" s="7" t="inlineStr">
        <is>
          <t>FRC × ES</t>
        </is>
      </c>
      <c r="B14" s="7" t="n">
        <v>0.0008696409680179318</v>
      </c>
      <c r="C14" s="8">
        <f>B5*B6</f>
        <v/>
      </c>
    </row>
    <row r="15">
      <c r="A15" s="9" t="inlineStr">
        <is>
          <t>Total Interactions</t>
        </is>
      </c>
      <c r="B15" s="7" t="n">
        <v>0.001370192354582165</v>
      </c>
      <c r="C15" s="8">
        <f>SUM(B12:B14)</f>
        <v/>
      </c>
    </row>
    <row r="17">
      <c r="A17" s="12" t="inlineStr">
        <is>
          <t>Non-Linear REI</t>
        </is>
      </c>
      <c r="B17" s="10" t="n">
        <v>0.6389808458087499</v>
      </c>
      <c r="C17" s="10">
        <f>B8+B15</f>
        <v/>
      </c>
    </row>
    <row r="18">
      <c r="A18" t="inlineStr">
        <is>
          <t>Interaction % of Total</t>
        </is>
      </c>
      <c r="B18" s="15" t="n">
        <v>0.2148948338863751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0.6389808458087499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0.002546229469025043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0.06667408253770826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10000</v>
      </c>
      <c r="C4" s="7" t="n">
        <v>20.47239999999995</v>
      </c>
      <c r="D4" s="7" t="n">
        <v>6.345964494585248</v>
      </c>
      <c r="E4" s="8">
        <f>IF(C4=0,"N/A",D4/C4)</f>
        <v/>
      </c>
      <c r="F4" s="8">
        <f>IF(C4=0,"N/A",E4*100)</f>
        <v/>
      </c>
      <c r="G4" s="7" t="n">
        <v>10</v>
      </c>
      <c r="H4" s="7" t="n">
        <v>31</v>
      </c>
      <c r="I4" s="8">
        <f>H4-G4</f>
        <v/>
      </c>
      <c r="J4" s="7" t="n">
        <v>11</v>
      </c>
      <c r="K4" s="7" t="n">
        <v>15</v>
      </c>
      <c r="L4" s="7" t="n">
        <v>20</v>
      </c>
      <c r="M4" s="7" t="n">
        <v>26</v>
      </c>
      <c r="N4" s="7" t="n">
        <v>30</v>
      </c>
    </row>
    <row r="5">
      <c r="A5" s="7" t="inlineStr">
        <is>
          <t>TEMPERATURE</t>
        </is>
      </c>
      <c r="B5" s="7" t="n">
        <v>10000</v>
      </c>
      <c r="C5" s="7" t="n">
        <v>92.17412084130011</v>
      </c>
      <c r="D5" s="7" t="n">
        <v>6.345964494585255</v>
      </c>
      <c r="E5" s="8">
        <f>IF(C5=0,"N/A",D5/C5)</f>
        <v/>
      </c>
      <c r="F5" s="8">
        <f>IF(C5=0,"N/A",E5*100)</f>
        <v/>
      </c>
      <c r="G5" s="7" t="n">
        <v>81.70172084130019</v>
      </c>
      <c r="H5" s="7" t="n">
        <v>102.7017208413002</v>
      </c>
      <c r="I5" s="8">
        <f>H5-G5</f>
        <v/>
      </c>
      <c r="J5" s="7" t="n">
        <v>82.70172084130019</v>
      </c>
      <c r="K5" s="7" t="n">
        <v>86.70172084130019</v>
      </c>
      <c r="L5" s="7" t="n">
        <v>91.70172084130019</v>
      </c>
      <c r="M5" s="7" t="n">
        <v>97.70172084130019</v>
      </c>
      <c r="N5" s="7" t="n">
        <v>101.7017208413002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