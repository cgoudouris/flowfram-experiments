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rep2-normal-distribution-temperature</t>
        </is>
      </c>
    </row>
    <row r="4">
      <c r="A4" s="2" t="inlineStr">
        <is>
          <t>Export Date</t>
        </is>
      </c>
      <c r="B4" s="2" t="inlineStr">
        <is>
          <t>2026-03-09T23:20:29.556Z</t>
        </is>
      </c>
    </row>
    <row r="5">
      <c r="A5" s="2" t="inlineStr">
        <is>
          <t>Generation Date</t>
        </is>
      </c>
      <c r="B5" s="2" t="inlineStr">
        <is>
          <t>2026-03-10T07:11:02.604016</t>
        </is>
      </c>
    </row>
    <row r="6">
      <c r="A6" s="2" t="inlineStr">
        <is>
          <t>Iterations</t>
        </is>
      </c>
      <c r="B6" s="2" t="n">
        <v>10000</v>
      </c>
    </row>
    <row r="7">
      <c r="A7" s="2" t="inlineStr">
        <is>
          <t>Current Iteration</t>
        </is>
      </c>
      <c r="B7" s="2" t="n">
        <v>10000</v>
      </c>
    </row>
    <row r="8">
      <c r="A8" s="2" t="inlineStr">
        <is>
          <t>REI</t>
        </is>
      </c>
      <c r="B8" s="2" t="n">
        <v>0.642200120624082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498.3381216557411</v>
      </c>
      <c r="C3" s="7" t="n">
        <v>2.004497682617049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47.34530413935396</v>
      </c>
      <c r="C6" s="7" t="n">
        <v>5.011244206542603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0.09999999999999999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0.00415369594254348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0.002335912490805509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0.642200120624082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0.9999999999999999</v>
      </c>
      <c r="E2" s="7" t="n">
        <v>1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30000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10000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0.9999999999999999</v>
      </c>
      <c r="E3" s="7" t="inlineStr">
        <is>
          <t>amplifying</t>
        </is>
      </c>
      <c r="F3" s="8">
        <f>PRODUCT(G3)</f>
        <v/>
      </c>
      <c r="G3" t="n">
        <v>0.9999999999999999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0.9999999999999999</v>
      </c>
      <c r="C8" s="7" t="n">
        <v>0</v>
      </c>
      <c r="D8" s="8">
        <f>IF(B8=0,0,1-(ABS(C8)/ABS(B8)))</f>
        <v/>
      </c>
      <c r="E8" s="7" t="n">
        <v>0.1058445879192737</v>
      </c>
      <c r="F8" s="7" t="inlineStr">
        <is>
          <t>moderate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421.2404893992993</v>
      </c>
      <c r="B5" t="n">
        <v>429.8229503632652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498.3381216557411</v>
      </c>
      <c r="C10" s="7" t="n">
        <v>0.004022364726898786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47.34530413935396</v>
      </c>
      <c r="C13" s="7" t="n">
        <v>0.1058445879192737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0.1058445879192737</v>
      </c>
      <c r="D2" s="7" t="n">
        <v>47.34530413935396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0.004022364726898786</v>
      </c>
      <c r="D3" s="7" t="n">
        <v>498.3381216557411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7</v>
      </c>
    </row>
    <row r="7">
      <c r="A7" s="7" t="inlineStr">
        <is>
          <t>Convergence Residual</t>
        </is>
      </c>
      <c r="B7" s="7" t="n">
        <v>5.492566220455242e-07</v>
      </c>
    </row>
    <row r="8">
      <c r="A8" s="7" t="inlineStr">
        <is>
          <t>Amplification Factor</t>
        </is>
      </c>
      <c r="B8" s="7" t="n">
        <v>1.008176002580259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1.008176002580259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7 iterations (residual=5.5e-7). Network amplification: 1.01×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0.01557274993870339</v>
      </c>
    </row>
    <row r="5">
      <c r="A5" s="7" t="inlineStr">
        <is>
          <t>FRC (Functional Resonance Coupling)</t>
        </is>
      </c>
      <c r="B5" s="7" t="n">
        <v>0.9999999999999999</v>
      </c>
    </row>
    <row r="6">
      <c r="A6" s="7" t="inlineStr">
        <is>
          <t>ES (Entropy Synchronization)</t>
        </is>
      </c>
      <c r="B6" s="7" t="n">
        <v>0.0276913062836232</v>
      </c>
    </row>
    <row r="8">
      <c r="A8" s="9" t="inlineStr">
        <is>
          <t>Linear REI</t>
        </is>
      </c>
      <c r="B8" s="7" t="n">
        <v>0.6400153563235542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0.0007786374969351694</v>
      </c>
      <c r="C12" s="8">
        <f>B4*B5</f>
        <v/>
      </c>
    </row>
    <row r="13">
      <c r="A13" s="7" t="inlineStr">
        <is>
          <t>FOV × ES</t>
        </is>
      </c>
      <c r="B13" s="7" t="n">
        <v>2.15614894115455e-05</v>
      </c>
      <c r="C13" s="8">
        <f>B4*B6</f>
        <v/>
      </c>
    </row>
    <row r="14">
      <c r="A14" s="7" t="inlineStr">
        <is>
          <t>FRC × ES</t>
        </is>
      </c>
      <c r="B14" s="7" t="n">
        <v>0.00138456531418116</v>
      </c>
      <c r="C14" s="8">
        <f>B5*B6</f>
        <v/>
      </c>
    </row>
    <row r="15">
      <c r="A15" s="9" t="inlineStr">
        <is>
          <t>Total Interactions</t>
        </is>
      </c>
      <c r="B15" s="7" t="n">
        <v>0.002184764300527875</v>
      </c>
      <c r="C15" s="8">
        <f>SUM(B12:B14)</f>
        <v/>
      </c>
    </row>
    <row r="17">
      <c r="A17" s="12" t="inlineStr">
        <is>
          <t>Non-Linear REI</t>
        </is>
      </c>
      <c r="B17" s="10" t="n">
        <v>0.642200120624082</v>
      </c>
      <c r="C17" s="10">
        <f>B8+B15</f>
        <v/>
      </c>
    </row>
    <row r="18">
      <c r="A18" t="inlineStr">
        <is>
          <t>Interaction % of Total</t>
        </is>
      </c>
      <c r="B18" s="15" t="n">
        <v>0.3413612312488618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0.642200120624082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0.004022364726898786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0.1058445879192737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10000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10000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10000</v>
      </c>
      <c r="C4" s="7" t="n">
        <v>19.98888743740769</v>
      </c>
      <c r="D4" s="7" t="n">
        <v>10.02298957509336</v>
      </c>
      <c r="E4" s="8">
        <f>IF(C4=0,"N/A",D4/C4)</f>
        <v/>
      </c>
      <c r="F4" s="8">
        <f>IF(C4=0,"N/A",E4*100)</f>
        <v/>
      </c>
      <c r="G4" s="7" t="n">
        <v>-17.18463953180742</v>
      </c>
      <c r="H4" s="7" t="n">
        <v>65.72511213058</v>
      </c>
      <c r="I4" s="8">
        <f>H4-G4</f>
        <v/>
      </c>
      <c r="J4" s="7" t="n">
        <v>3.614584920697602</v>
      </c>
      <c r="K4" s="7" t="n">
        <v>13.26354081727479</v>
      </c>
      <c r="L4" s="7" t="n">
        <v>19.94579873754059</v>
      </c>
      <c r="M4" s="7" t="n">
        <v>26.71925471570334</v>
      </c>
      <c r="N4" s="7" t="n">
        <v>36.15382092471106</v>
      </c>
    </row>
    <row r="5">
      <c r="A5" s="7" t="inlineStr">
        <is>
          <t>TEMPERATURE</t>
        </is>
      </c>
      <c r="B5" s="7" t="n">
        <v>10000</v>
      </c>
      <c r="C5" s="7" t="n">
        <v>91.6906082787078</v>
      </c>
      <c r="D5" s="7" t="n">
        <v>10.02298957509336</v>
      </c>
      <c r="E5" s="8">
        <f>IF(C5=0,"N/A",D5/C5)</f>
        <v/>
      </c>
      <c r="F5" s="8">
        <f>IF(C5=0,"N/A",E5*100)</f>
        <v/>
      </c>
      <c r="G5" s="7" t="n">
        <v>54.51708130949277</v>
      </c>
      <c r="H5" s="7" t="n">
        <v>137.4268329718802</v>
      </c>
      <c r="I5" s="8">
        <f>H5-G5</f>
        <v/>
      </c>
      <c r="J5" s="7" t="n">
        <v>75.31630576199778</v>
      </c>
      <c r="K5" s="7" t="n">
        <v>84.96526165857497</v>
      </c>
      <c r="L5" s="7" t="n">
        <v>91.64751957884079</v>
      </c>
      <c r="M5" s="7" t="n">
        <v>98.42097555700352</v>
      </c>
      <c r="N5" s="7" t="n">
        <v>107.8555417660113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2026-03-10T10:11:02Z</dcterms:created>
  <dcterms:modified xmlns:dcterms="http://purl.org/dc/terms/" xmlns:xsi="http://www.w3.org/2001/XMLSchema-instance" xsi:type="dcterms:W3CDTF">2026-03-10T10:11:02Z</dcterms:modified>
</cp:coreProperties>
</file>