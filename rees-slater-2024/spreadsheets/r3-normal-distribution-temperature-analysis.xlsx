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r3-normal-distribution-temperature</t>
        </is>
      </c>
    </row>
    <row r="4">
      <c r="A4" s="2" t="inlineStr">
        <is>
          <t>Export Date</t>
        </is>
      </c>
      <c r="B4" s="2" t="inlineStr">
        <is>
          <t>2026-03-10T00:23:54.442Z</t>
        </is>
      </c>
    </row>
    <row r="5">
      <c r="A5" s="2" t="inlineStr">
        <is>
          <t>Generation Date</t>
        </is>
      </c>
      <c r="B5" s="2" t="inlineStr">
        <is>
          <t>2026-03-10T07:11:02.214404</t>
        </is>
      </c>
    </row>
    <row r="6">
      <c r="A6" s="2" t="inlineStr">
        <is>
          <t>Iterations</t>
        </is>
      </c>
      <c r="B6" s="2" t="n">
        <v>10000</v>
      </c>
    </row>
    <row r="7">
      <c r="A7" s="2" t="inlineStr">
        <is>
          <t>Current Iteration</t>
        </is>
      </c>
      <c r="B7" s="2" t="n">
        <v>10000</v>
      </c>
    </row>
    <row r="8">
      <c r="A8" s="2" t="inlineStr">
        <is>
          <t>REI</t>
        </is>
      </c>
      <c r="B8" s="2" t="n">
        <v>0.6421712254583098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498.3538469696259</v>
      </c>
      <c r="C3" s="7" t="n">
        <v>1.999447275146654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47.38461742405664</v>
      </c>
      <c r="C6" s="7" t="n">
        <v>4.998618187866644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0.1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0.004139821653651363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0.002328222479369324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0.6421712254583098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1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</v>
      </c>
      <c r="E3" s="7" t="inlineStr">
        <is>
          <t>amplifying</t>
        </is>
      </c>
      <c r="F3" s="8">
        <f>PRODUCT(G3)</f>
        <v/>
      </c>
      <c r="G3" t="n">
        <v>1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</v>
      </c>
      <c r="C8" s="7" t="n">
        <v>0</v>
      </c>
      <c r="D8" s="8">
        <f>IF(B8=0,0,1-(ABS(C8)/ABS(B8)))</f>
        <v/>
      </c>
      <c r="E8" s="7" t="n">
        <v>0.1054903143594634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421.2483520562404</v>
      </c>
      <c r="B5" t="n">
        <v>429.817721052999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498.3538469696259</v>
      </c>
      <c r="C10" s="7" t="n">
        <v>0.004012103623368875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47.38461742405664</v>
      </c>
      <c r="C13" s="7" t="n">
        <v>0.1054903143594634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0.1054903143594634</v>
      </c>
      <c r="D2" s="7" t="n">
        <v>47.38461742405664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0.004012103623368875</v>
      </c>
      <c r="D3" s="7" t="n">
        <v>498.3538469696259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5.448832630372547e-07</v>
      </c>
    </row>
    <row r="8">
      <c r="A8" s="7" t="inlineStr">
        <is>
          <t>Amplification Factor</t>
        </is>
      </c>
      <c r="B8" s="7" t="n">
        <v>1.008153483100961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1.008153483100961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(residual=5.4e-7).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0.01552148319579549</v>
      </c>
    </row>
    <row r="5">
      <c r="A5" s="7" t="inlineStr">
        <is>
          <t>FRC (Functional Resonance Coupling)</t>
        </is>
      </c>
      <c r="B5" s="7" t="n">
        <v>1</v>
      </c>
    </row>
    <row r="6">
      <c r="A6" s="7" t="inlineStr">
        <is>
          <t>ES (Entropy Synchronization)</t>
        </is>
      </c>
      <c r="B6" s="7" t="n">
        <v>0.02759881102434242</v>
      </c>
    </row>
    <row r="8">
      <c r="A8" s="9" t="inlineStr">
        <is>
          <t>Linear REI</t>
        </is>
      </c>
      <c r="B8" s="7" t="n">
        <v>0.639993792023226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0.0007760741597897749</v>
      </c>
      <c r="C12" s="8">
        <f>B4*B5</f>
        <v/>
      </c>
    </row>
    <row r="13">
      <c r="A13" s="7" t="inlineStr">
        <is>
          <t>FOV × ES</t>
        </is>
      </c>
      <c r="B13" s="7" t="n">
        <v>2.141872407691332e-05</v>
      </c>
      <c r="C13" s="8">
        <f>B4*B6</f>
        <v/>
      </c>
    </row>
    <row r="14">
      <c r="A14" s="7" t="inlineStr">
        <is>
          <t>FRC × ES</t>
        </is>
      </c>
      <c r="B14" s="7" t="n">
        <v>0.001379940551217121</v>
      </c>
      <c r="C14" s="8">
        <f>B5*B6</f>
        <v/>
      </c>
    </row>
    <row r="15">
      <c r="A15" s="9" t="inlineStr">
        <is>
          <t>Total Interactions</t>
        </is>
      </c>
      <c r="B15" s="7" t="n">
        <v>0.00217743343508381</v>
      </c>
      <c r="C15" s="8">
        <f>SUM(B12:B14)</f>
        <v/>
      </c>
    </row>
    <row r="17">
      <c r="A17" s="12" t="inlineStr">
        <is>
          <t>Non-Linear REI</t>
        </is>
      </c>
      <c r="B17" s="10" t="n">
        <v>0.6421712254583098</v>
      </c>
      <c r="C17" s="10">
        <f>B8+B15</f>
        <v/>
      </c>
    </row>
    <row r="18">
      <c r="A18" t="inlineStr">
        <is>
          <t>Interaction % of Total</t>
        </is>
      </c>
      <c r="B18" s="15" t="n">
        <v>0.34022727442406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0.6421712254583098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0.004012103623368875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0.1054903143594634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10000</v>
      </c>
      <c r="C4" s="7" t="n">
        <v>20.06751400681343</v>
      </c>
      <c r="D4" s="7" t="n">
        <v>9.997736275044852</v>
      </c>
      <c r="E4" s="8">
        <f>IF(C4=0,"N/A",D4/C4)</f>
        <v/>
      </c>
      <c r="F4" s="8">
        <f>IF(C4=0,"N/A",E4*100)</f>
        <v/>
      </c>
      <c r="G4" s="7" t="n">
        <v>-18.07252549414419</v>
      </c>
      <c r="H4" s="7" t="n">
        <v>57.31107051310759</v>
      </c>
      <c r="I4" s="8">
        <f>H4-G4</f>
        <v/>
      </c>
      <c r="J4" s="7" t="n">
        <v>3.550082556813769</v>
      </c>
      <c r="K4" s="7" t="n">
        <v>13.31149386046793</v>
      </c>
      <c r="L4" s="7" t="n">
        <v>20.17786717714175</v>
      </c>
      <c r="M4" s="7" t="n">
        <v>26.79281187585138</v>
      </c>
      <c r="N4" s="7" t="n">
        <v>36.12995329176826</v>
      </c>
    </row>
    <row r="5">
      <c r="A5" s="7" t="inlineStr">
        <is>
          <t>TEMPERATURE</t>
        </is>
      </c>
      <c r="B5" s="7" t="n">
        <v>10000</v>
      </c>
      <c r="C5" s="7" t="n">
        <v>91.76923484811344</v>
      </c>
      <c r="D5" s="7" t="n">
        <v>9.997736275044852</v>
      </c>
      <c r="E5" s="8">
        <f>IF(C5=0,"N/A",D5/C5)</f>
        <v/>
      </c>
      <c r="F5" s="8">
        <f>IF(C5=0,"N/A",E5*100)</f>
        <v/>
      </c>
      <c r="G5" s="7" t="n">
        <v>53.629195347156</v>
      </c>
      <c r="H5" s="7" t="n">
        <v>129.0127913544078</v>
      </c>
      <c r="I5" s="8">
        <f>H5-G5</f>
        <v/>
      </c>
      <c r="J5" s="7" t="n">
        <v>75.25180339811396</v>
      </c>
      <c r="K5" s="7" t="n">
        <v>85.01321470176812</v>
      </c>
      <c r="L5" s="7" t="n">
        <v>91.87958801844194</v>
      </c>
      <c r="M5" s="7" t="n">
        <v>98.49453271715156</v>
      </c>
      <c r="N5" s="7" t="n">
        <v>107.8316741330684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