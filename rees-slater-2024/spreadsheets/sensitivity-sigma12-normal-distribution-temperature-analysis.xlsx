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sensitivity-sigma12-normal-distribution-temperature</t>
        </is>
      </c>
    </row>
    <row r="4">
      <c r="A4" s="2" t="inlineStr">
        <is>
          <t>Export Date</t>
        </is>
      </c>
      <c r="B4" s="2" t="inlineStr">
        <is>
          <t>2026-03-09T20:48:04.633Z</t>
        </is>
      </c>
    </row>
    <row r="5">
      <c r="A5" s="2" t="inlineStr">
        <is>
          <t>Generation Date</t>
        </is>
      </c>
      <c r="B5" s="2" t="inlineStr">
        <is>
          <t>2026-03-10T07:11:02.698561</t>
        </is>
      </c>
    </row>
    <row r="6">
      <c r="A6" s="2" t="inlineStr">
        <is>
          <t>Iterations</t>
        </is>
      </c>
      <c r="B6" s="2" t="n">
        <v>1000</v>
      </c>
    </row>
    <row r="7">
      <c r="A7" s="2" t="inlineStr">
        <is>
          <t>Current Iteration</t>
        </is>
      </c>
      <c r="B7" s="2" t="n">
        <v>1000</v>
      </c>
    </row>
    <row r="8">
      <c r="A8" s="2" t="inlineStr">
        <is>
          <t>REI</t>
        </is>
      </c>
      <c r="B8" s="2" t="n">
        <v>0.6443874170064976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1000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498.2426465968836</v>
      </c>
      <c r="C3" s="7" t="n">
        <v>2.494556917503919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1000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1000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3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1000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47.10661649220899</v>
      </c>
      <c r="C6" s="7" t="n">
        <v>6.236392293759792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1000</v>
      </c>
      <c r="I6" s="7" t="inlineStr">
        <is>
          <t>low</t>
        </is>
      </c>
      <c r="J6" s="7" t="inlineStr">
        <is>
          <t>low</t>
        </is>
      </c>
    </row>
    <row r="7">
      <c r="A7" s="7" t="inlineStr">
        <is>
          <t>to fill with a quantity of water</t>
        </is>
      </c>
      <c r="B7" s="7" t="n">
        <v>1000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1000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1000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0.1313406651113019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0.1021850827789033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0.1000000000000002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0.005205472515837798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0.002915485191325029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0.6443874170064976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1.000000000000002</v>
      </c>
      <c r="E2" s="7" t="n">
        <v>1</v>
      </c>
      <c r="F2" s="8">
        <f>D2*(0.5+0.5*E2)</f>
        <v/>
      </c>
      <c r="G2" s="7" t="inlineStr">
        <is>
          <t>amplifying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3000</v>
      </c>
      <c r="D3" s="8">
        <f>SUM(C$3:C$6)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2000</v>
      </c>
      <c r="D4" s="8">
        <f>SUM(C$3:C$6)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1000</v>
      </c>
      <c r="D5" s="8">
        <f>SUM(C$3:C$6)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resource</t>
        </is>
      </c>
      <c r="B6" s="7" t="inlineStr">
        <is>
          <t>resource</t>
        </is>
      </c>
      <c r="C6" s="7" t="n">
        <v>1000</v>
      </c>
      <c r="D6" s="8">
        <f>SUM(C$3:C$6)</f>
        <v/>
      </c>
      <c r="E6" s="8">
        <f>IF(D6=0,0,C6/D6)</f>
        <v/>
      </c>
      <c r="F6" s="8">
        <f>IF(E6&lt;=0,0,-E6*LOG(E6,2))</f>
        <v/>
      </c>
    </row>
    <row r="7">
      <c r="A7" s="12" t="inlineStr">
        <is>
          <t>H_aspect</t>
        </is>
      </c>
      <c r="F7" s="10">
        <f>SUM(F3:F6)</f>
        <v/>
      </c>
    </row>
    <row r="8">
      <c r="A8" t="inlineStr">
        <is>
          <t>H_max (log₂(N))</t>
        </is>
      </c>
      <c r="F8" s="8">
        <f>LOG(4,2)</f>
        <v/>
      </c>
    </row>
    <row r="9">
      <c r="A9" t="inlineStr">
        <is>
          <t>H_norm (= H/H_max)</t>
        </is>
      </c>
      <c r="F9" s="10">
        <f>IF(F8=0,0,F7/F8)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1.000000000000002</v>
      </c>
      <c r="E3" s="7" t="inlineStr">
        <is>
          <t>amplifying</t>
        </is>
      </c>
      <c r="F3" s="8">
        <f>PRODUCT(G3)</f>
        <v/>
      </c>
      <c r="G3" t="n">
        <v>1.000000000000002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1.000000000000002</v>
      </c>
      <c r="C8" s="7" t="n">
        <v>0</v>
      </c>
      <c r="D8" s="8">
        <f>IF(B8=0,0,1-(ABS(C8)/ABS(B8)))</f>
        <v/>
      </c>
      <c r="E8" s="7" t="n">
        <v>0.132388882032978</v>
      </c>
      <c r="F8" s="7" t="inlineStr">
        <is>
          <t>moderate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421.1927518698703</v>
      </c>
      <c r="B5" t="n">
        <v>429.8547096813084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498.2426465968836</v>
      </c>
      <c r="C10" s="7" t="n">
        <v>0.005006710956082019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3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47.10661649220899</v>
      </c>
      <c r="C13" s="7" t="n">
        <v>0.132388882032978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1000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0.132388882032978</v>
      </c>
      <c r="D2" s="7" t="n">
        <v>47.10661649220899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0.005006710956082019</v>
      </c>
      <c r="D3" s="7" t="n">
        <v>498.2426465968836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3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1000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Bellman-Picard</t>
        </is>
      </c>
    </row>
    <row r="5">
      <c r="A5" s="7" t="inlineStr">
        <is>
          <t>Was Recursive</t>
        </is>
      </c>
      <c r="B5" s="7" t="inlineStr">
        <is>
          <t>True</t>
        </is>
      </c>
    </row>
    <row r="6">
      <c r="A6" s="7" t="inlineStr">
        <is>
          <t>Convergence Iterations</t>
        </is>
      </c>
      <c r="B6" s="7" t="n">
        <v>7</v>
      </c>
    </row>
    <row r="7">
      <c r="A7" s="7" t="inlineStr">
        <is>
          <t>Convergence Residual</t>
        </is>
      </c>
      <c r="B7" s="7" t="n">
        <v>9.910844482041714e-07</v>
      </c>
    </row>
    <row r="8">
      <c r="A8" s="7" t="inlineStr">
        <is>
          <t>Amplification Factor</t>
        </is>
      </c>
      <c r="B8" s="7" t="n">
        <v>1.010313339769159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1.010313339769159</v>
      </c>
    </row>
    <row r="16">
      <c r="A16" t="inlineStr">
        <is>
          <t>Interpretation</t>
        </is>
      </c>
      <c r="B16" s="7" t="inlineStr">
        <is>
          <t>Minor amplification — small network effect</t>
        </is>
      </c>
    </row>
    <row r="18">
      <c r="A18" s="9" t="inlineStr">
        <is>
          <t>FlowFRAM Description</t>
        </is>
      </c>
    </row>
    <row r="19">
      <c r="A19" t="inlineStr">
        <is>
          <t>Iterative BP converged in 7 iterations (residual=9.9e-7). Network amplification: 1.01×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0.01943656794216686</v>
      </c>
    </row>
    <row r="5">
      <c r="A5" s="7" t="inlineStr">
        <is>
          <t>FRC (Functional Resonance Coupling)</t>
        </is>
      </c>
      <c r="B5" s="7" t="n">
        <v>1.000000000000002</v>
      </c>
    </row>
    <row r="6">
      <c r="A6" s="7" t="inlineStr">
        <is>
          <t>ES (Entropy Synchronization)</t>
        </is>
      </c>
      <c r="B6" s="7" t="n">
        <v>0.03470315010558532</v>
      </c>
    </row>
    <row r="8">
      <c r="A8" s="9" t="inlineStr">
        <is>
          <t>Linear REI</t>
        </is>
      </c>
      <c r="B8" s="7" t="n">
        <v>0.6416467055973682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0.0009718283971083446</v>
      </c>
      <c r="C12" s="8">
        <f>B4*B5</f>
        <v/>
      </c>
    </row>
    <row r="13">
      <c r="A13" s="7" t="inlineStr">
        <is>
          <t>FOV × ES</t>
        </is>
      </c>
      <c r="B13" s="7" t="n">
        <v>3.372550674172121e-05</v>
      </c>
      <c r="C13" s="8">
        <f>B4*B6</f>
        <v/>
      </c>
    </row>
    <row r="14">
      <c r="A14" s="7" t="inlineStr">
        <is>
          <t>FRC × ES</t>
        </is>
      </c>
      <c r="B14" s="7" t="n">
        <v>0.001735157505279269</v>
      </c>
      <c r="C14" s="8">
        <f>B5*B6</f>
        <v/>
      </c>
    </row>
    <row r="15">
      <c r="A15" s="9" t="inlineStr">
        <is>
          <t>Total Interactions</t>
        </is>
      </c>
      <c r="B15" s="7" t="n">
        <v>0.002740711409129334</v>
      </c>
      <c r="C15" s="8">
        <f>SUM(B12:B14)</f>
        <v/>
      </c>
    </row>
    <row r="17">
      <c r="A17" s="12" t="inlineStr">
        <is>
          <t>Non-Linear REI</t>
        </is>
      </c>
      <c r="B17" s="10" t="n">
        <v>0.6443874170064976</v>
      </c>
      <c r="C17" s="10">
        <f>B8+B15</f>
        <v/>
      </c>
    </row>
    <row r="18">
      <c r="A18" t="inlineStr">
        <is>
          <t>Interaction % of Total</t>
        </is>
      </c>
      <c r="B18" s="15" t="n">
        <v>0.4271371434187842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0.6443874170064976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0.005006710956082019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0.132388882032978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QUANTITY_g</t>
        </is>
      </c>
      <c r="B2" s="7" t="n">
        <v>1000</v>
      </c>
      <c r="C2" s="7" t="n">
        <v>1000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1000</v>
      </c>
      <c r="H2" s="7" t="n">
        <v>1000</v>
      </c>
      <c r="I2" s="8">
        <f>H2-G2</f>
        <v/>
      </c>
      <c r="J2" s="7" t="n">
        <v>1000</v>
      </c>
      <c r="K2" s="7" t="n">
        <v>1000</v>
      </c>
      <c r="L2" s="7" t="n">
        <v>1000</v>
      </c>
      <c r="M2" s="7" t="n">
        <v>1000</v>
      </c>
      <c r="N2" s="7" t="n">
        <v>1000</v>
      </c>
    </row>
    <row r="3">
      <c r="A3" s="7" t="inlineStr">
        <is>
          <t>Capacity_J_gC</t>
        </is>
      </c>
      <c r="B3" s="7" t="n">
        <v>1000</v>
      </c>
      <c r="C3" s="7" t="n">
        <v>4.184</v>
      </c>
      <c r="D3" s="7" t="n">
        <v>0</v>
      </c>
      <c r="E3" s="8">
        <f>IF(C3=0,"N/A",D3/C3)</f>
        <v/>
      </c>
      <c r="F3" s="8">
        <f>IF(C3=0,"N/A",E3*100)</f>
        <v/>
      </c>
      <c r="G3" s="7" t="n">
        <v>4.184</v>
      </c>
      <c r="H3" s="7" t="n">
        <v>4.184</v>
      </c>
      <c r="I3" s="8">
        <f>H3-G3</f>
        <v/>
      </c>
      <c r="J3" s="7" t="n">
        <v>4.184</v>
      </c>
      <c r="K3" s="7" t="n">
        <v>4.184</v>
      </c>
      <c r="L3" s="7" t="n">
        <v>4.184</v>
      </c>
      <c r="M3" s="7" t="n">
        <v>4.184</v>
      </c>
      <c r="N3" s="7" t="n">
        <v>4.184</v>
      </c>
    </row>
    <row r="4">
      <c r="A4" s="7" t="inlineStr">
        <is>
          <t>TEMP_START_C</t>
        </is>
      </c>
      <c r="B4" s="7" t="n">
        <v>1000</v>
      </c>
      <c r="C4" s="7" t="n">
        <v>19.51151214311773</v>
      </c>
      <c r="D4" s="7" t="n">
        <v>12.47902566100874</v>
      </c>
      <c r="E4" s="8">
        <f>IF(C4=0,"N/A",D4/C4)</f>
        <v/>
      </c>
      <c r="F4" s="8">
        <f>IF(C4=0,"N/A",E4*100)</f>
        <v/>
      </c>
      <c r="G4" s="7" t="n">
        <v>-21.49470422931667</v>
      </c>
      <c r="H4" s="7" t="n">
        <v>56.61617286382318</v>
      </c>
      <c r="I4" s="8">
        <f>H4-G4</f>
        <v/>
      </c>
      <c r="J4" s="7" t="n">
        <v>-1.943469309212696</v>
      </c>
      <c r="K4" s="7" t="n">
        <v>10.83326596563255</v>
      </c>
      <c r="L4" s="7" t="n">
        <v>19.62571782902172</v>
      </c>
      <c r="M4" s="7" t="n">
        <v>28.59899242531574</v>
      </c>
      <c r="N4" s="7" t="n">
        <v>40.47200504669576</v>
      </c>
    </row>
    <row r="5">
      <c r="A5" s="7" t="inlineStr">
        <is>
          <t>TEMPERATURE</t>
        </is>
      </c>
      <c r="B5" s="7" t="n">
        <v>1000</v>
      </c>
      <c r="C5" s="7" t="n">
        <v>91.21323298441797</v>
      </c>
      <c r="D5" s="7" t="n">
        <v>12.47902566100874</v>
      </c>
      <c r="E5" s="8">
        <f>IF(C5=0,"N/A",D5/C5)</f>
        <v/>
      </c>
      <c r="F5" s="8">
        <f>IF(C5=0,"N/A",E5*100)</f>
        <v/>
      </c>
      <c r="G5" s="7" t="n">
        <v>50.20701661198352</v>
      </c>
      <c r="H5" s="7" t="n">
        <v>128.3178937051234</v>
      </c>
      <c r="I5" s="8">
        <f>H5-G5</f>
        <v/>
      </c>
      <c r="J5" s="7" t="n">
        <v>69.75825153208748</v>
      </c>
      <c r="K5" s="7" t="n">
        <v>82.53498680693274</v>
      </c>
      <c r="L5" s="7" t="n">
        <v>91.32743867032191</v>
      </c>
      <c r="M5" s="7" t="n">
        <v>100.3007132666159</v>
      </c>
      <c r="N5" s="7" t="n">
        <v>112.173725887996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2026-03-10T10:11:02Z</dcterms:created>
  <dcterms:modified xmlns:dcterms="http://purl.org/dc/terms/" xmlns:xsi="http://www.w3.org/2001/XMLSchema-instance" xsi:type="dcterms:W3CDTF">2026-03-10T10:11:02Z</dcterms:modified>
</cp:coreProperties>
</file>