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sensitivity-sigma08-normal-distribution-temperature</t>
        </is>
      </c>
    </row>
    <row r="4">
      <c r="A4" s="2" t="inlineStr">
        <is>
          <t>Export Date</t>
        </is>
      </c>
      <c r="B4" s="2" t="inlineStr">
        <is>
          <t>2026-03-09T20:36:09.364Z</t>
        </is>
      </c>
    </row>
    <row r="5">
      <c r="A5" s="2" t="inlineStr">
        <is>
          <t>Generation Date</t>
        </is>
      </c>
      <c r="B5" s="2" t="inlineStr">
        <is>
          <t>2026-03-10T07:11:02.655750</t>
        </is>
      </c>
    </row>
    <row r="6">
      <c r="A6" s="2" t="inlineStr">
        <is>
          <t>Iterations</t>
        </is>
      </c>
      <c r="B6" s="2" t="n">
        <v>1000</v>
      </c>
    </row>
    <row r="7">
      <c r="A7" s="2" t="inlineStr">
        <is>
          <t>Current Iteration</t>
        </is>
      </c>
      <c r="B7" s="2" t="n">
        <v>1000</v>
      </c>
    </row>
    <row r="8">
      <c r="A8" s="2" t="inlineStr">
        <is>
          <t>REI</t>
        </is>
      </c>
      <c r="B8" s="2" t="n">
        <v>0.6404126698239164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498.2877660242883</v>
      </c>
      <c r="C3" s="7" t="n">
        <v>1.589038997775076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47.21941506072079</v>
      </c>
      <c r="C6" s="7" t="n">
        <v>3.972597494437693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0.09999999999999987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0.003295466132817579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0.001859512052478324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0.6404126698239164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0.9999999999999986</v>
      </c>
      <c r="E2" s="7" t="n">
        <v>0.9999999999999999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0.9999999999999986</v>
      </c>
      <c r="E3" s="7" t="inlineStr">
        <is>
          <t>amplifying</t>
        </is>
      </c>
      <c r="F3" s="8">
        <f>PRODUCT(G3)</f>
        <v/>
      </c>
      <c r="G3" t="n">
        <v>0.9999999999999986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0.9999999999999986</v>
      </c>
      <c r="C8" s="7" t="n">
        <v>0</v>
      </c>
      <c r="D8" s="8">
        <f>IF(B8=0,0,1-(ABS(C8)/ABS(B8)))</f>
        <v/>
      </c>
      <c r="E8" s="7" t="n">
        <v>0.08413059520811972</v>
      </c>
      <c r="F8" s="7" t="inlineStr">
        <is>
          <t>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421.2153115835727</v>
      </c>
      <c r="B5" t="n">
        <v>429.8396987911169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498.2877660242883</v>
      </c>
      <c r="C10" s="7" t="n">
        <v>0.003188998619118457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47.21941506072079</v>
      </c>
      <c r="C13" s="7" t="n">
        <v>0.08413059520811972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0.08413059520811972</v>
      </c>
      <c r="D2" s="7" t="n">
        <v>47.21941506072079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0.003188998619118457</v>
      </c>
      <c r="D3" s="7" t="n">
        <v>498.2877660242883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6</v>
      </c>
    </row>
    <row r="7">
      <c r="A7" s="7" t="inlineStr">
        <is>
          <t>Convergence Residual</t>
        </is>
      </c>
      <c r="B7" s="7" t="n">
        <v>9.122783938136925e-07</v>
      </c>
    </row>
    <row r="8">
      <c r="A8" s="7" t="inlineStr">
        <is>
          <t>Amplification Factor</t>
        </is>
      </c>
      <c r="B8" s="7" t="n">
        <v>1.006407531498649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1.006407531498649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6 iterations (residual=9.1e-7).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0.01239674701652216</v>
      </c>
    </row>
    <row r="5">
      <c r="A5" s="7" t="inlineStr">
        <is>
          <t>FRC (Functional Resonance Coupling)</t>
        </is>
      </c>
      <c r="B5" s="7" t="n">
        <v>0.9999999999999986</v>
      </c>
    </row>
    <row r="6">
      <c r="A6" s="7" t="inlineStr">
        <is>
          <t>ES (Entropy Synchronization)</t>
        </is>
      </c>
      <c r="B6" s="7" t="n">
        <v>0.02196977421878386</v>
      </c>
    </row>
    <row r="8">
      <c r="A8" s="9" t="inlineStr">
        <is>
          <t>Linear REI</t>
        </is>
      </c>
      <c r="B8" s="7" t="n">
        <v>0.6386807260755011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0.0006198373508261071</v>
      </c>
      <c r="C12" s="8">
        <f>B4*B5</f>
        <v/>
      </c>
    </row>
    <row r="13">
      <c r="A13" s="7" t="inlineStr">
        <is>
          <t>FOV × ES</t>
        </is>
      </c>
      <c r="B13" s="7" t="n">
        <v>1.361768665001871e-05</v>
      </c>
      <c r="C13" s="8">
        <f>B4*B6</f>
        <v/>
      </c>
    </row>
    <row r="14">
      <c r="A14" s="7" t="inlineStr">
        <is>
          <t>FRC × ES</t>
        </is>
      </c>
      <c r="B14" s="7" t="n">
        <v>0.001098488710939192</v>
      </c>
      <c r="C14" s="8">
        <f>B5*B6</f>
        <v/>
      </c>
    </row>
    <row r="15">
      <c r="A15" s="9" t="inlineStr">
        <is>
          <t>Total Interactions</t>
        </is>
      </c>
      <c r="B15" s="7" t="n">
        <v>0.001731943748415317</v>
      </c>
      <c r="C15" s="8">
        <f>SUM(B12:B14)</f>
        <v/>
      </c>
    </row>
    <row r="17">
      <c r="A17" s="12" t="inlineStr">
        <is>
          <t>Non-Linear REI</t>
        </is>
      </c>
      <c r="B17" s="10" t="n">
        <v>0.6404126698239164</v>
      </c>
      <c r="C17" s="10">
        <f>B8+B15</f>
        <v/>
      </c>
    </row>
    <row r="18">
      <c r="A18" t="inlineStr">
        <is>
          <t>Interaction % of Total</t>
        </is>
      </c>
      <c r="B18" s="15" t="n">
        <v>0.2711752018974465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0.6404126698239164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0.003188998619118457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0.08413059520811972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1000</v>
      </c>
      <c r="C4" s="7" t="n">
        <v>19.73710928014136</v>
      </c>
      <c r="D4" s="7" t="n">
        <v>7.949170568302987</v>
      </c>
      <c r="E4" s="8">
        <f>IF(C4=0,"N/A",D4/C4)</f>
        <v/>
      </c>
      <c r="F4" s="8">
        <f>IF(C4=0,"N/A",E4*100)</f>
        <v/>
      </c>
      <c r="G4" s="7" t="n">
        <v>-10.84488997756754</v>
      </c>
      <c r="H4" s="7" t="n">
        <v>47.1624838913357</v>
      </c>
      <c r="I4" s="8">
        <f>H4-G4</f>
        <v/>
      </c>
      <c r="J4" s="7" t="n">
        <v>6.324266166122243</v>
      </c>
      <c r="K4" s="7" t="n">
        <v>14.66645551528446</v>
      </c>
      <c r="L4" s="7" t="n">
        <v>19.84208485737316</v>
      </c>
      <c r="M4" s="7" t="n">
        <v>24.77155639819539</v>
      </c>
      <c r="N4" s="7" t="n">
        <v>32.98297462232717</v>
      </c>
    </row>
    <row r="5">
      <c r="A5" s="7" t="inlineStr">
        <is>
          <t>TEMPERATURE</t>
        </is>
      </c>
      <c r="B5" s="7" t="n">
        <v>1000</v>
      </c>
      <c r="C5" s="7" t="n">
        <v>91.43883012144155</v>
      </c>
      <c r="D5" s="7" t="n">
        <v>7.949170568302989</v>
      </c>
      <c r="E5" s="8">
        <f>IF(C5=0,"N/A",D5/C5)</f>
        <v/>
      </c>
      <c r="F5" s="8">
        <f>IF(C5=0,"N/A",E5*100)</f>
        <v/>
      </c>
      <c r="G5" s="7" t="n">
        <v>60.85683086373264</v>
      </c>
      <c r="H5" s="7" t="n">
        <v>118.8642047326359</v>
      </c>
      <c r="I5" s="8">
        <f>H5-G5</f>
        <v/>
      </c>
      <c r="J5" s="7" t="n">
        <v>78.02598700742243</v>
      </c>
      <c r="K5" s="7" t="n">
        <v>86.36817635658466</v>
      </c>
      <c r="L5" s="7" t="n">
        <v>91.54380569867334</v>
      </c>
      <c r="M5" s="7" t="n">
        <v>96.47327723949559</v>
      </c>
      <c r="N5" s="7" t="n">
        <v>104.6846954636273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