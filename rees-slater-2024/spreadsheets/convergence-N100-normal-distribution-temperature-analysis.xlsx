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unction Statistics" sheetId="2" state="visible" r:id="rId2"/>
    <sheet xmlns:r="http://schemas.openxmlformats.org/officeDocument/2006/relationships" name="REI Calculation" sheetId="3" state="visible" r:id="rId3"/>
    <sheet xmlns:r="http://schemas.openxmlformats.org/officeDocument/2006/relationships" name="Resonance Analysis" sheetId="4" state="visible" r:id="rId4"/>
    <sheet xmlns:r="http://schemas.openxmlformats.org/officeDocument/2006/relationships" name="Entropy Analysis" sheetId="5" state="visible" r:id="rId5"/>
    <sheet xmlns:r="http://schemas.openxmlformats.org/officeDocument/2006/relationships" name="Chains &amp; Barriers" sheetId="6" state="visible" r:id="rId6"/>
    <sheet xmlns:r="http://schemas.openxmlformats.org/officeDocument/2006/relationships" name="ITD Analysis" sheetId="7" state="visible" r:id="rId7"/>
    <sheet xmlns:r="http://schemas.openxmlformats.org/officeDocument/2006/relationships" name="CRI Ranking" sheetId="8" state="visible" r:id="rId8"/>
    <sheet xmlns:r="http://schemas.openxmlformats.org/officeDocument/2006/relationships" name="ES 2.0" sheetId="9" state="visible" r:id="rId9"/>
    <sheet xmlns:r="http://schemas.openxmlformats.org/officeDocument/2006/relationships" name="REI Non-Linear" sheetId="10" state="visible" r:id="rId10"/>
    <sheet xmlns:r="http://schemas.openxmlformats.org/officeDocument/2006/relationships" name="Entropy Rate" sheetId="11" state="visible" r:id="rId11"/>
    <sheet xmlns:r="http://schemas.openxmlformats.org/officeDocument/2006/relationships" name="Transfer Entropy" sheetId="12" state="visible" r:id="rId12"/>
    <sheet xmlns:r="http://schemas.openxmlformats.org/officeDocument/2006/relationships" name="Variable Stati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name val="Consolas"/>
      <sz val="10"/>
    </font>
    <font>
      <b val="1"/>
    </font>
    <font>
      <name val="Consolas"/>
      <b val="1"/>
      <sz val="11"/>
    </font>
    <font>
      <b val="1"/>
      <sz val="12"/>
    </font>
    <font>
      <b val="1"/>
      <color rgb="002F5496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5" borderId="1" pivotButton="0" quotePrefix="0" xfId="0"/>
    <xf numFmtId="10" fontId="3" fillId="4" borderId="1" pivotButton="0" quotePrefix="0" xfId="0"/>
    <xf numFmtId="0" fontId="6" fillId="0" borderId="0" pivotButton="0" quotePrefix="0" xfId="0"/>
    <xf numFmtId="10" fontId="5" fillId="5" borderId="1" pivotButton="0" quotePrefix="0" xfId="0"/>
    <xf numFmtId="0" fontId="7" fillId="6" borderId="1" pivotButton="0" quotePrefix="0" xfId="0"/>
    <xf numFmtId="164" fontId="3" fillId="3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Experiment</t>
        </is>
      </c>
      <c r="B2" s="2" t="inlineStr">
        <is>
          <t>Rees &amp; Slater (2024) — Boil Water Advisory</t>
        </is>
      </c>
    </row>
    <row r="3">
      <c r="A3" s="2" t="inlineStr">
        <is>
          <t>Scenario</t>
        </is>
      </c>
      <c r="B3" s="2" t="inlineStr">
        <is>
          <t>convergence-N100-normal-distribution-temperature</t>
        </is>
      </c>
    </row>
    <row r="4">
      <c r="A4" s="2" t="inlineStr">
        <is>
          <t>Export Date</t>
        </is>
      </c>
      <c r="B4" s="2" t="inlineStr">
        <is>
          <t>2026-03-09T18:36:28.423Z</t>
        </is>
      </c>
    </row>
    <row r="5">
      <c r="A5" s="2" t="inlineStr">
        <is>
          <t>Generation Date</t>
        </is>
      </c>
      <c r="B5" s="2" t="inlineStr">
        <is>
          <t>2026-03-10T07:11:01.764491</t>
        </is>
      </c>
    </row>
    <row r="6">
      <c r="A6" s="2" t="inlineStr">
        <is>
          <t>Iterations</t>
        </is>
      </c>
      <c r="B6" s="2" t="n">
        <v>100</v>
      </c>
    </row>
    <row r="7">
      <c r="A7" s="2" t="inlineStr">
        <is>
          <t>Current Iteration</t>
        </is>
      </c>
      <c r="B7" s="2" t="n">
        <v>100</v>
      </c>
    </row>
    <row r="8">
      <c r="A8" s="2" t="inlineStr">
        <is>
          <t>REI</t>
        </is>
      </c>
      <c r="B8" s="2" t="n">
        <v>0.6432968331555794</v>
      </c>
    </row>
    <row r="9">
      <c r="A9" s="2" t="inlineStr">
        <is>
          <t>REI Status</t>
        </is>
      </c>
      <c r="B9" s="2" t="inlineStr">
        <is>
          <t>WARNING</t>
        </is>
      </c>
    </row>
    <row r="10">
      <c r="A10" s="2" t="inlineStr">
        <is>
          <t>Warning Threshold</t>
        </is>
      </c>
      <c r="B10" s="2" t="n">
        <v>0.6</v>
      </c>
    </row>
    <row r="11">
      <c r="A11" s="2" t="inlineStr">
        <is>
          <t>Critical Threshold</t>
        </is>
      </c>
      <c r="B11" s="2" t="n">
        <v>0.8</v>
      </c>
    </row>
    <row r="12">
      <c r="A12" s="2" t="inlineStr">
        <is>
          <t>Functions Analyzed</t>
        </is>
      </c>
      <c r="B12" s="2" t="n">
        <v>7</v>
      </c>
    </row>
    <row r="13">
      <c r="A13" s="2" t="inlineStr">
        <is>
          <t>Resonance Detections</t>
        </is>
      </c>
      <c r="B13" s="2" t="n">
        <v>1</v>
      </c>
    </row>
    <row r="14">
      <c r="A14" s="2" t="inlineStr">
        <is>
          <t>Resonance Chains</t>
        </is>
      </c>
      <c r="B14" s="2" t="n">
        <v>1</v>
      </c>
    </row>
    <row r="15">
      <c r="A15" s="2" t="inlineStr">
        <is>
          <t>Barrier Functions</t>
        </is>
      </c>
      <c r="B15" s="2" t="n">
        <v>1</v>
      </c>
    </row>
    <row r="17">
      <c r="A17" s="3" t="inlineStr">
        <is>
          <t>Cell Color Legend:</t>
        </is>
      </c>
    </row>
    <row r="18">
      <c r="A18" s="4" t="inlineStr">
        <is>
          <t>White cells</t>
        </is>
      </c>
      <c r="B18" s="2" t="inlineStr">
        <is>
          <t>Raw data from FlowFRAM export</t>
        </is>
      </c>
    </row>
    <row r="19">
      <c r="A19" s="5" t="inlineStr">
        <is>
          <t>Yellow cells</t>
        </is>
      </c>
      <c r="B19" s="2" t="inlineStr">
        <is>
          <t>Excel FORMULAS (editable, auto-recompute)</t>
        </is>
      </c>
    </row>
    <row r="20">
      <c r="A20" s="6" t="inlineStr">
        <is>
          <t>Green cells</t>
        </is>
      </c>
      <c r="B20" s="2" t="inlineStr">
        <is>
          <t>Final results /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Function ID</t>
        </is>
      </c>
      <c r="B1" s="1" t="inlineStr">
        <is>
          <t>Mean (μ)</t>
        </is>
      </c>
      <c r="C1" s="1" t="inlineStr">
        <is>
          <t>StdDev (σ)</t>
        </is>
      </c>
      <c r="D1" s="1" t="inlineStr">
        <is>
          <t>CV (=σ/μ)</t>
        </is>
      </c>
      <c r="E1" s="1" t="inlineStr">
        <is>
          <t>CV %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  <c r="I1" s="1" t="inlineStr">
        <is>
          <t>Phenotype</t>
        </is>
      </c>
      <c r="J1" s="1" t="inlineStr">
        <is>
          <t>Level</t>
        </is>
      </c>
    </row>
    <row r="2">
      <c r="A2" s="7" t="inlineStr">
        <is>
          <t>to control the heating time</t>
        </is>
      </c>
      <c r="B2" s="7" t="n">
        <v>300</v>
      </c>
      <c r="C2" s="7" t="n">
        <v>0</v>
      </c>
      <c r="D2" s="8">
        <f>IF(B2=0,"N/A",C2/B2)</f>
        <v/>
      </c>
      <c r="E2" s="8">
        <f>IF(B2=0,"N/A",D2*100)</f>
        <v/>
      </c>
      <c r="F2" s="7" t="n">
        <v>0</v>
      </c>
      <c r="G2" s="7" t="n">
        <v>0</v>
      </c>
      <c r="H2" s="7" t="n">
        <v>100</v>
      </c>
      <c r="I2" s="7" t="inlineStr">
        <is>
          <t>low</t>
        </is>
      </c>
      <c r="J2" s="7" t="inlineStr">
        <is>
          <t>low</t>
        </is>
      </c>
    </row>
    <row r="3">
      <c r="A3" s="7" t="inlineStr">
        <is>
          <t>to boil water</t>
        </is>
      </c>
      <c r="B3" s="7" t="n">
        <v>498.3854934422909</v>
      </c>
      <c r="C3" s="7" t="n">
        <v>2.261879635466387</v>
      </c>
      <c r="D3" s="8">
        <f>IF(B3=0,"N/A",C3/B3)</f>
        <v/>
      </c>
      <c r="E3" s="8">
        <f>IF(B3=0,"N/A",D3*100)</f>
        <v/>
      </c>
      <c r="F3" s="7" t="n">
        <v>0</v>
      </c>
      <c r="G3" s="7" t="n">
        <v>0</v>
      </c>
      <c r="H3" s="7" t="n">
        <v>100</v>
      </c>
      <c r="I3" s="7" t="inlineStr">
        <is>
          <t>low</t>
        </is>
      </c>
      <c r="J3" s="7" t="inlineStr">
        <is>
          <t>low</t>
        </is>
      </c>
    </row>
    <row r="4">
      <c r="A4" s="7" t="inlineStr">
        <is>
          <t>to set the target temperature</t>
        </is>
      </c>
      <c r="B4" s="7" t="n">
        <v>100</v>
      </c>
      <c r="C4" s="7" t="n">
        <v>0</v>
      </c>
      <c r="D4" s="8">
        <f>IF(B4=0,"N/A",C4/B4)</f>
        <v/>
      </c>
      <c r="E4" s="8">
        <f>IF(B4=0,"N/A",D4*100)</f>
        <v/>
      </c>
      <c r="F4" s="7" t="n">
        <v>0</v>
      </c>
      <c r="G4" s="7" t="n">
        <v>0</v>
      </c>
      <c r="H4" s="7" t="n">
        <v>100</v>
      </c>
      <c r="I4" s="7" t="inlineStr">
        <is>
          <t>low</t>
        </is>
      </c>
      <c r="J4" s="7" t="inlineStr">
        <is>
          <t>low</t>
        </is>
      </c>
    </row>
    <row r="5">
      <c r="A5" s="7" t="inlineStr">
        <is>
          <t>to control the time it is allowed to stew</t>
        </is>
      </c>
      <c r="B5" s="7" t="n">
        <v>3</v>
      </c>
      <c r="C5" s="7" t="n">
        <v>0</v>
      </c>
      <c r="D5" s="8">
        <f>IF(B5=0,"N/A",C5/B5)</f>
        <v/>
      </c>
      <c r="E5" s="8">
        <f>IF(B5=0,"N/A",D5*100)</f>
        <v/>
      </c>
      <c r="F5" s="7" t="n">
        <v>0</v>
      </c>
      <c r="G5" s="7" t="n">
        <v>0</v>
      </c>
      <c r="H5" s="7" t="n">
        <v>100</v>
      </c>
      <c r="I5" s="7" t="inlineStr">
        <is>
          <t>low</t>
        </is>
      </c>
      <c r="J5" s="7" t="inlineStr">
        <is>
          <t>low</t>
        </is>
      </c>
    </row>
    <row r="6">
      <c r="A6" s="7" t="inlineStr">
        <is>
          <t>to pour onto tea leaves</t>
        </is>
      </c>
      <c r="B6" s="7" t="n">
        <v>47.46373360572682</v>
      </c>
      <c r="C6" s="7" t="n">
        <v>5.65469908866597</v>
      </c>
      <c r="D6" s="8">
        <f>IF(B6=0,"N/A",C6/B6)</f>
        <v/>
      </c>
      <c r="E6" s="8">
        <f>IF(B6=0,"N/A",D6*100)</f>
        <v/>
      </c>
      <c r="F6" s="7" t="n">
        <v>0</v>
      </c>
      <c r="G6" s="7" t="n">
        <v>0</v>
      </c>
      <c r="H6" s="7" t="n">
        <v>100</v>
      </c>
      <c r="I6" s="7" t="inlineStr">
        <is>
          <t>low</t>
        </is>
      </c>
      <c r="J6" s="7" t="inlineStr">
        <is>
          <t>low</t>
        </is>
      </c>
    </row>
    <row r="7">
      <c r="A7" s="7" t="inlineStr">
        <is>
          <t>to fill with a quantity of water</t>
        </is>
      </c>
      <c r="B7" s="7" t="n">
        <v>1000</v>
      </c>
      <c r="C7" s="7" t="n">
        <v>0</v>
      </c>
      <c r="D7" s="8">
        <f>IF(B7=0,"N/A",C7/B7)</f>
        <v/>
      </c>
      <c r="E7" s="8">
        <f>IF(B7=0,"N/A",D7*100)</f>
        <v/>
      </c>
      <c r="F7" s="7" t="n">
        <v>0</v>
      </c>
      <c r="G7" s="7" t="n">
        <v>0</v>
      </c>
      <c r="H7" s="7" t="n">
        <v>100</v>
      </c>
      <c r="I7" s="7" t="inlineStr">
        <is>
          <t>low</t>
        </is>
      </c>
      <c r="J7" s="7" t="inlineStr">
        <is>
          <t>low</t>
        </is>
      </c>
    </row>
    <row r="8">
      <c r="A8" s="7" t="inlineStr">
        <is>
          <t>to supply kettle</t>
        </is>
      </c>
      <c r="B8" s="7" t="n">
        <v>1000</v>
      </c>
      <c r="C8" s="7" t="n">
        <v>0</v>
      </c>
      <c r="D8" s="8">
        <f>IF(B8=0,"N/A",C8/B8)</f>
        <v/>
      </c>
      <c r="E8" s="8">
        <f>IF(B8=0,"N/A",D8*100)</f>
        <v/>
      </c>
      <c r="F8" s="7" t="n">
        <v>0</v>
      </c>
      <c r="G8" s="7" t="n">
        <v>0</v>
      </c>
      <c r="H8" s="7" t="n">
        <v>100</v>
      </c>
      <c r="I8" s="7" t="inlineStr">
        <is>
          <t>low</t>
        </is>
      </c>
      <c r="J8" s="7" t="inlineStr">
        <is>
          <t>low</t>
        </is>
      </c>
    </row>
    <row r="10">
      <c r="A10" s="9" t="inlineStr">
        <is>
          <t>AVERAGES</t>
        </is>
      </c>
      <c r="B10" s="10">
        <f>AVERAGE(B2:B8)</f>
        <v/>
      </c>
      <c r="C10" s="10">
        <f>AVERAGE(C2:C8)</f>
        <v/>
      </c>
      <c r="D10" s="10">
        <f>AVERAGE(D2:D8)</f>
        <v/>
      </c>
      <c r="E10" s="10">
        <f>AVERAGE(E2:E8)</f>
        <v/>
      </c>
      <c r="H10" s="10">
        <f>SUM(H2:H8)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Factor Name</t>
        </is>
      </c>
      <c r="B1" s="1" t="inlineStr">
        <is>
          <t>Category</t>
        </is>
      </c>
      <c r="C1" s="1" t="inlineStr">
        <is>
          <t>Contribution</t>
        </is>
      </c>
      <c r="D1" s="1" t="inlineStr">
        <is>
          <t>% of Total (formula)</t>
        </is>
      </c>
      <c r="E1" s="1" t="inlineStr">
        <is>
          <t>Cumulative (formula)</t>
        </is>
      </c>
    </row>
    <row r="2">
      <c r="A2" s="7" t="inlineStr">
        <is>
          <t>Coupling Network Entropy</t>
        </is>
      </c>
      <c r="B2" s="7" t="inlineStr">
        <is>
          <t>static</t>
        </is>
      </c>
      <c r="C2" s="7" t="n">
        <v>0.15</v>
      </c>
      <c r="D2" s="11">
        <f>IF(SUM(C$2:C$8)=0,0,C2/SUM(C$2:C$8))</f>
        <v/>
      </c>
      <c r="E2" s="8">
        <f>C2</f>
        <v/>
      </c>
    </row>
    <row r="3">
      <c r="A3" s="7" t="inlineStr">
        <is>
          <t>Temporal Consistency</t>
        </is>
      </c>
      <c r="B3" s="7" t="inlineStr">
        <is>
          <t>static</t>
        </is>
      </c>
      <c r="C3" s="7" t="n">
        <v>0.15</v>
      </c>
      <c r="D3" s="11">
        <f>IF(SUM(C$2:C$8)=0,0,C3/SUM(C$2:C$8))</f>
        <v/>
      </c>
      <c r="E3" s="8">
        <f>E2+C3</f>
        <v/>
      </c>
    </row>
    <row r="4">
      <c r="A4" s="7" t="inlineStr">
        <is>
          <t>System Activity Entropy</t>
        </is>
      </c>
      <c r="B4" s="7" t="inlineStr">
        <is>
          <t>static</t>
        </is>
      </c>
      <c r="C4" s="7" t="n">
        <v>0.1313406651113019</v>
      </c>
      <c r="D4" s="11">
        <f>IF(SUM(C$2:C$8)=0,0,C4/SUM(C$2:C$8))</f>
        <v/>
      </c>
      <c r="E4" s="8">
        <f>E3+C4</f>
        <v/>
      </c>
    </row>
    <row r="5">
      <c r="A5" s="7" t="inlineStr">
        <is>
          <t>Aspect Entropy</t>
        </is>
      </c>
      <c r="B5" s="7" t="inlineStr">
        <is>
          <t>static</t>
        </is>
      </c>
      <c r="C5" s="7" t="n">
        <v>0.1021850827789033</v>
      </c>
      <c r="D5" s="11">
        <f>IF(SUM(C$2:C$8)=0,0,C5/SUM(C$2:C$8))</f>
        <v/>
      </c>
      <c r="E5" s="8">
        <f>E4+C5</f>
        <v/>
      </c>
    </row>
    <row r="6">
      <c r="A6" s="7" t="inlineStr">
        <is>
          <t>Functional Resonance</t>
        </is>
      </c>
      <c r="B6" s="7" t="inlineStr">
        <is>
          <t>dynamic</t>
        </is>
      </c>
      <c r="C6" s="7" t="n">
        <v>0.09999999999999998</v>
      </c>
      <c r="D6" s="11">
        <f>IF(SUM(C$2:C$8)=0,0,C6/SUM(C$2:C$8))</f>
        <v/>
      </c>
      <c r="E6" s="8">
        <f>E5+C6</f>
        <v/>
      </c>
    </row>
    <row r="7">
      <c r="A7" s="7" t="inlineStr">
        <is>
          <t>Entropy Synchronization</t>
        </is>
      </c>
      <c r="B7" s="7" t="inlineStr">
        <is>
          <t>dynamic</t>
        </is>
      </c>
      <c r="C7" s="7" t="n">
        <v>0.004680901533717662</v>
      </c>
      <c r="D7" s="11">
        <f>IF(SUM(C$2:C$8)=0,0,C7/SUM(C$2:C$8))</f>
        <v/>
      </c>
      <c r="E7" s="8">
        <f>E6+C7</f>
        <v/>
      </c>
    </row>
    <row r="8">
      <c r="A8" s="7" t="inlineStr">
        <is>
          <t>Output Variability</t>
        </is>
      </c>
      <c r="B8" s="7" t="inlineStr">
        <is>
          <t>dynamic</t>
        </is>
      </c>
      <c r="C8" s="7" t="n">
        <v>0.00262691850388998</v>
      </c>
      <c r="D8" s="11">
        <f>IF(SUM(C$2:C$8)=0,0,C8/SUM(C$2:C$8))</f>
        <v/>
      </c>
      <c r="E8" s="8">
        <f>E7+C8</f>
        <v/>
      </c>
    </row>
    <row r="9">
      <c r="A9" s="12" t="inlineStr">
        <is>
          <t>REI (Total)</t>
        </is>
      </c>
      <c r="C9" s="10">
        <f>SUM(C2:C8)</f>
        <v/>
      </c>
      <c r="D9" s="13">
        <f>1</f>
        <v/>
      </c>
    </row>
    <row r="11">
      <c r="A11" s="14" t="inlineStr">
        <is>
          <t>Static/Dynamic Breakdown</t>
        </is>
      </c>
      <c r="B11" s="14" t="n"/>
      <c r="C11" s="14" t="n"/>
      <c r="D11" s="14" t="n"/>
      <c r="E11" s="14" t="n"/>
    </row>
    <row r="12">
      <c r="A12" t="inlineStr">
        <is>
          <t>Static Contribution</t>
        </is>
      </c>
      <c r="C12" s="10">
        <f>SUMPRODUCT((B2:B8="static")*C2:C8)</f>
        <v/>
      </c>
    </row>
    <row r="13">
      <c r="A13" t="inlineStr">
        <is>
          <t>Dynamic Contribution</t>
        </is>
      </c>
      <c r="C13" s="10">
        <f>SUMPRODUCT((B2:B8="dynamic")*C2:C8)</f>
        <v/>
      </c>
    </row>
    <row r="14">
      <c r="A14" t="inlineStr">
        <is>
          <t>Static %</t>
        </is>
      </c>
      <c r="C14" s="11">
        <f>IF(C9=0,0,C12/C9)</f>
        <v/>
      </c>
    </row>
    <row r="15">
      <c r="A15" t="inlineStr">
        <is>
          <t>Dynamic %</t>
        </is>
      </c>
      <c r="C15" s="11">
        <f>IF(C9=0,0,C13/C9)</f>
        <v/>
      </c>
    </row>
    <row r="17">
      <c r="A17" t="inlineStr">
        <is>
          <t>FlowFRAM REI (reference)</t>
        </is>
      </c>
      <c r="C17" s="7" t="n">
        <v>0.6432968331555794</v>
      </c>
    </row>
    <row r="18">
      <c r="A18" t="inlineStr">
        <is>
          <t>Spreadsheet REI (formula)</t>
        </is>
      </c>
      <c r="C18" s="10">
        <f>C9</f>
        <v/>
      </c>
    </row>
    <row r="19">
      <c r="A19" t="inlineStr">
        <is>
          <t>Difference</t>
        </is>
      </c>
      <c r="C19" s="8">
        <f>ABS(C17-C18)</f>
        <v/>
      </c>
    </row>
    <row r="20">
      <c r="A20" t="inlineStr">
        <is>
          <t>Match?</t>
        </is>
      </c>
      <c r="C20" s="8">
        <f>IF(C19&lt;0.0001,"✓ MATCH","✗ MISMATCH")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6" customWidth="1" min="4" max="4"/>
    <col width="10" customWidth="1" min="5" max="5"/>
    <col width="24" customWidth="1" min="6" max="6"/>
    <col width="14" customWidth="1" min="7" max="7"/>
    <col width="18" customWidth="1" min="8" max="8"/>
  </cols>
  <sheetData>
    <row r="1">
      <c r="A1" s="1" t="inlineStr">
        <is>
          <t>Upstream</t>
        </is>
      </c>
      <c r="B1" s="1" t="inlineStr">
        <is>
          <t>Downstream</t>
        </is>
      </c>
      <c r="C1" s="1" t="inlineStr">
        <is>
          <t>Aspect</t>
        </is>
      </c>
      <c r="D1" s="1" t="inlineStr">
        <is>
          <t>Correlation (r)</t>
        </is>
      </c>
      <c r="E1" s="1" t="inlineStr">
        <is>
          <t>NMI</t>
        </is>
      </c>
      <c r="F1" s="1" t="inlineStr">
        <is>
          <t>Combined Score (formula)</t>
        </is>
      </c>
      <c r="G1" s="1" t="inlineStr">
        <is>
          <t>Type</t>
        </is>
      </c>
      <c r="H1" s="1" t="inlineStr">
        <is>
          <t>|Score| (formula)</t>
        </is>
      </c>
    </row>
    <row r="2">
      <c r="A2" s="7" t="inlineStr">
        <is>
          <t>to boil water</t>
        </is>
      </c>
      <c r="B2" s="7" t="inlineStr">
        <is>
          <t>to pour onto tea leaves</t>
        </is>
      </c>
      <c r="C2" s="7" t="inlineStr">
        <is>
          <t>input</t>
        </is>
      </c>
      <c r="D2" s="7" t="n">
        <v>0.9999999999999998</v>
      </c>
      <c r="E2" s="7" t="n">
        <v>1</v>
      </c>
      <c r="F2" s="8">
        <f>D2*(0.5+0.5*E2)</f>
        <v/>
      </c>
      <c r="G2" s="7" t="inlineStr">
        <is>
          <t>amplifying</t>
        </is>
      </c>
      <c r="H2" s="8">
        <f>ABS(F2)</f>
        <v/>
      </c>
    </row>
    <row r="4">
      <c r="A4" s="9" t="inlineStr">
        <is>
          <t>SUMMARY</t>
        </is>
      </c>
    </row>
    <row r="5">
      <c r="A5" t="inlineStr">
        <is>
          <t>Total Detections</t>
        </is>
      </c>
      <c r="D5" s="8">
        <f>COUNTA(D2:D2)</f>
        <v/>
      </c>
    </row>
    <row r="6">
      <c r="A6" t="inlineStr">
        <is>
          <t>Avg |Correlation|</t>
        </is>
      </c>
      <c r="D6" s="8">
        <f>AVERAGE(ABS(D2:D2))</f>
        <v/>
      </c>
    </row>
    <row r="7">
      <c r="A7" t="inlineStr">
        <is>
          <t>Avg |Combined Score|</t>
        </is>
      </c>
      <c r="F7" s="10">
        <f>AVERAGE(H2:H2)</f>
        <v/>
      </c>
    </row>
    <row r="8">
      <c r="A8" t="inlineStr">
        <is>
          <t>Amplifying Count</t>
        </is>
      </c>
      <c r="G8" s="8">
        <f>COUNTIF(G2:G2,"amplifying")</f>
        <v/>
      </c>
    </row>
    <row r="9">
      <c r="A9" t="inlineStr">
        <is>
          <t>Dampening Count</t>
        </is>
      </c>
      <c r="G9" s="8">
        <f>COUNTIF(G2:G2,"dampening")</f>
        <v/>
      </c>
    </row>
    <row r="11">
      <c r="A11" s="9" t="inlineStr">
        <is>
          <t>VPI (formula)</t>
        </is>
      </c>
      <c r="F11" s="10">
        <f>IF(COUNTA(D2:D2)=0,0,SUM(H2:H2)/COUNTA(D2:D2))</f>
        <v/>
      </c>
    </row>
    <row r="12">
      <c r="A12" t="inlineStr">
        <is>
          <t>FlowFRAM VPI (reference)</t>
        </is>
      </c>
      <c r="F12" s="7" t="n">
        <v>1</v>
      </c>
    </row>
    <row r="13">
      <c r="A13" t="inlineStr">
        <is>
          <t>Match?</t>
        </is>
      </c>
      <c r="F13" s="8">
        <f>IF(ABS(F11-F12)&lt;0.001,"✓ MATCH","✗ MISMATCH")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6" customWidth="1" min="4" max="4"/>
    <col width="20" customWidth="1" min="5" max="5"/>
    <col width="24" customWidth="1" min="6" max="6"/>
  </cols>
  <sheetData>
    <row r="1">
      <c r="A1" s="14" t="inlineStr">
        <is>
          <t>Aspect Entropy Calculation</t>
        </is>
      </c>
      <c r="B1" s="14" t="n"/>
      <c r="C1" s="14" t="n"/>
      <c r="D1" s="14" t="n"/>
      <c r="E1" s="14" t="n"/>
      <c r="F1" s="14" t="n"/>
    </row>
    <row r="2">
      <c r="A2" s="1" t="inlineStr">
        <is>
          <t>Aspect</t>
        </is>
      </c>
      <c r="B2" s="1" t="inlineStr">
        <is>
          <t>Full Name</t>
        </is>
      </c>
      <c r="C2" s="1" t="inlineStr">
        <is>
          <t>Count</t>
        </is>
      </c>
      <c r="D2" s="1" t="inlineStr">
        <is>
          <t>Total (formula)</t>
        </is>
      </c>
      <c r="E2" s="1" t="inlineStr">
        <is>
          <t>Probability (formula)</t>
        </is>
      </c>
      <c r="F2" s="1" t="inlineStr">
        <is>
          <t>-p × log₂(p) (formula)</t>
        </is>
      </c>
    </row>
    <row r="3">
      <c r="A3" s="7" t="inlineStr">
        <is>
          <t>input</t>
        </is>
      </c>
      <c r="B3" s="7" t="inlineStr">
        <is>
          <t>input</t>
        </is>
      </c>
      <c r="C3" s="7" t="n">
        <v>300</v>
      </c>
      <c r="D3" s="8">
        <f>SUM(C$3:C$6)</f>
        <v/>
      </c>
      <c r="E3" s="8">
        <f>IF(D3=0,0,C3/D3)</f>
        <v/>
      </c>
      <c r="F3" s="8">
        <f>IF(E3&lt;=0,0,-E3*LOG(E3,2))</f>
        <v/>
      </c>
    </row>
    <row r="4">
      <c r="A4" s="7" t="inlineStr">
        <is>
          <t>time</t>
        </is>
      </c>
      <c r="B4" s="7" t="inlineStr">
        <is>
          <t>time</t>
        </is>
      </c>
      <c r="C4" s="7" t="n">
        <v>200</v>
      </c>
      <c r="D4" s="8">
        <f>SUM(C$3:C$6)</f>
        <v/>
      </c>
      <c r="E4" s="8">
        <f>IF(D4=0,0,C4/D4)</f>
        <v/>
      </c>
      <c r="F4" s="8">
        <f>IF(E4&lt;=0,0,-E4*LOG(E4,2))</f>
        <v/>
      </c>
    </row>
    <row r="5">
      <c r="A5" s="7" t="inlineStr">
        <is>
          <t>control</t>
        </is>
      </c>
      <c r="B5" s="7" t="inlineStr">
        <is>
          <t>control</t>
        </is>
      </c>
      <c r="C5" s="7" t="n">
        <v>100</v>
      </c>
      <c r="D5" s="8">
        <f>SUM(C$3:C$6)</f>
        <v/>
      </c>
      <c r="E5" s="8">
        <f>IF(D5=0,0,C5/D5)</f>
        <v/>
      </c>
      <c r="F5" s="8">
        <f>IF(E5&lt;=0,0,-E5*LOG(E5,2))</f>
        <v/>
      </c>
    </row>
    <row r="6">
      <c r="A6" s="7" t="inlineStr">
        <is>
          <t>resource</t>
        </is>
      </c>
      <c r="B6" s="7" t="inlineStr">
        <is>
          <t>resource</t>
        </is>
      </c>
      <c r="C6" s="7" t="n">
        <v>100</v>
      </c>
      <c r="D6" s="8">
        <f>SUM(C$3:C$6)</f>
        <v/>
      </c>
      <c r="E6" s="8">
        <f>IF(D6=0,0,C6/D6)</f>
        <v/>
      </c>
      <c r="F6" s="8">
        <f>IF(E6&lt;=0,0,-E6*LOG(E6,2))</f>
        <v/>
      </c>
    </row>
    <row r="7">
      <c r="A7" s="12" t="inlineStr">
        <is>
          <t>H_aspect</t>
        </is>
      </c>
      <c r="F7" s="10">
        <f>SUM(F3:F6)</f>
        <v/>
      </c>
    </row>
    <row r="8">
      <c r="A8" t="inlineStr">
        <is>
          <t>H_max (log₂(N))</t>
        </is>
      </c>
      <c r="F8" s="8">
        <f>LOG(4,2)</f>
        <v/>
      </c>
    </row>
    <row r="9">
      <c r="A9" t="inlineStr">
        <is>
          <t>H_norm (= H/H_max)</t>
        </is>
      </c>
      <c r="F9" s="10">
        <f>IF(F8=0,0,F7/F8)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8" customWidth="1" min="4" max="4"/>
    <col width="14" customWidth="1" min="5" max="5"/>
    <col width="24" customWidth="1" min="6" max="6"/>
  </cols>
  <sheetData>
    <row r="1">
      <c r="A1" s="14" t="inlineStr">
        <is>
          <t>Resonance Chains</t>
        </is>
      </c>
      <c r="B1" s="14" t="n"/>
      <c r="C1" s="14" t="n"/>
      <c r="D1" s="14" t="n"/>
      <c r="E1" s="14" t="n"/>
      <c r="F1" s="14" t="n"/>
    </row>
    <row r="2">
      <c r="A2" s="1" t="inlineStr">
        <is>
          <t>Chain #</t>
        </is>
      </c>
      <c r="B2" s="1" t="inlineStr">
        <is>
          <t>Path</t>
        </is>
      </c>
      <c r="C2" s="1" t="inlineStr">
        <is>
          <t>Length</t>
        </is>
      </c>
      <c r="D2" s="1" t="inlineStr">
        <is>
          <t>Strength (data)</t>
        </is>
      </c>
      <c r="E2" s="1" t="inlineStr">
        <is>
          <t>Type</t>
        </is>
      </c>
      <c r="F2" s="1" t="inlineStr">
        <is>
          <t>Strength Check (formula)</t>
        </is>
      </c>
    </row>
    <row r="3">
      <c r="A3" s="7" t="n">
        <v>1</v>
      </c>
      <c r="B3" s="7" t="inlineStr">
        <is>
          <t>to boil water → to pour onto tea leaves</t>
        </is>
      </c>
      <c r="C3" s="7" t="n">
        <v>2</v>
      </c>
      <c r="D3" s="7" t="n">
        <v>0.9999999999999998</v>
      </c>
      <c r="E3" s="7" t="inlineStr">
        <is>
          <t>amplifying</t>
        </is>
      </c>
      <c r="F3" s="8">
        <f>PRODUCT(G3)</f>
        <v/>
      </c>
      <c r="G3" t="n">
        <v>0.9999999999999998</v>
      </c>
    </row>
    <row r="6">
      <c r="A6" s="14" t="inlineStr">
        <is>
          <t>Barrier Functions</t>
        </is>
      </c>
      <c r="B6" s="14" t="n"/>
      <c r="C6" s="14" t="n"/>
      <c r="D6" s="14" t="n"/>
      <c r="E6" s="14" t="n"/>
      <c r="F6" s="14" t="n"/>
    </row>
    <row r="7">
      <c r="A7" s="1" t="inlineStr">
        <is>
          <t>Function ID</t>
        </is>
      </c>
      <c r="B7" s="1" t="inlineStr">
        <is>
          <t>Incoming r</t>
        </is>
      </c>
      <c r="C7" s="1" t="inlineStr">
        <is>
          <t>Outgoing r</t>
        </is>
      </c>
      <c r="D7" s="1" t="inlineStr">
        <is>
          <t>Damping Ratio (formula)</t>
        </is>
      </c>
      <c r="E7" s="1" t="inlineStr">
        <is>
          <t>CV</t>
        </is>
      </c>
      <c r="F7" s="1" t="inlineStr">
        <is>
          <t>Effectiveness</t>
        </is>
      </c>
    </row>
    <row r="8">
      <c r="A8" s="7" t="inlineStr">
        <is>
          <t>to pour onto tea leaves</t>
        </is>
      </c>
      <c r="B8" s="7" t="n">
        <v>0.9999999999999998</v>
      </c>
      <c r="C8" s="7" t="n">
        <v>0</v>
      </c>
      <c r="D8" s="8">
        <f>IF(B8=0,0,1-(ABS(C8)/ABS(B8)))</f>
        <v/>
      </c>
      <c r="E8" s="7" t="n">
        <v>0.1191372582620364</v>
      </c>
      <c r="F8" s="7" t="inlineStr">
        <is>
          <t>moderate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4" t="inlineStr">
        <is>
          <t>ITD (Dialogical Tension Index) — Morin Dialogic Principle</t>
        </is>
      </c>
      <c r="B1" s="14" t="n"/>
      <c r="C1" s="14" t="n"/>
      <c r="D1" s="14" t="n"/>
      <c r="E1" s="14" t="n"/>
      <c r="F1" s="14" t="n"/>
      <c r="G1" s="14" t="n"/>
      <c r="H1" s="14" t="n"/>
    </row>
    <row r="3">
      <c r="A3" s="9" t="inlineStr">
        <is>
          <t>Threshold Computation (Statistical Mode: mean ± σ)</t>
        </is>
      </c>
    </row>
    <row r="4">
      <c r="A4" s="1" t="inlineStr">
        <is>
          <t>Grand Mean of outputs</t>
        </is>
      </c>
      <c r="B4" s="1" t="inlineStr">
        <is>
          <t>Grand σ of outputs</t>
        </is>
      </c>
      <c r="C4" s="1" t="inlineStr">
        <is>
          <t>Success Threshold (≥)</t>
        </is>
      </c>
      <c r="D4" s="1" t="inlineStr">
        <is>
          <t>Failure Threshold (≤)</t>
        </is>
      </c>
      <c r="E4" s="1" t="inlineStr">
        <is>
          <t>log₂(3)</t>
        </is>
      </c>
    </row>
    <row r="5">
      <c r="A5" t="n">
        <v>421.264175292574</v>
      </c>
      <c r="B5" t="n">
        <v>429.8071987118146</v>
      </c>
      <c r="C5" s="8">
        <f>A5+B5</f>
        <v/>
      </c>
      <c r="D5" s="8">
        <f>A5-B5</f>
        <v/>
      </c>
      <c r="E5" s="8">
        <f>LOG(3,2)</f>
        <v/>
      </c>
    </row>
    <row r="7">
      <c r="A7" s="14" t="inlineStr">
        <is>
          <t>Per-Function ITD</t>
        </is>
      </c>
      <c r="B7" s="14" t="n"/>
      <c r="C7" s="14" t="n"/>
      <c r="D7" s="14" t="n"/>
      <c r="E7" s="14" t="n"/>
      <c r="F7" s="14" t="n"/>
      <c r="G7" s="14" t="n"/>
      <c r="H7" s="14" t="n"/>
    </row>
    <row r="8">
      <c r="A8" s="1" t="inlineStr">
        <is>
          <t>Function</t>
        </is>
      </c>
      <c r="B8" s="1" t="inlineStr">
        <is>
          <t>Mean (μ)</t>
        </is>
      </c>
      <c r="C8" s="1" t="inlineStr">
        <is>
          <t>CV</t>
        </is>
      </c>
      <c r="D8" s="1" t="inlineStr">
        <is>
          <t>σ (=μ×CV)</t>
        </is>
      </c>
      <c r="E8" s="1" t="inlineStr">
        <is>
          <t>P(Success)</t>
        </is>
      </c>
      <c r="F8" s="1" t="inlineStr">
        <is>
          <t>P(Failure)</t>
        </is>
      </c>
      <c r="G8" s="1" t="inlineStr">
        <is>
          <t>P(Indet.)</t>
        </is>
      </c>
      <c r="H8" s="1" t="inlineStr">
        <is>
          <t>ITD_norm (formula)</t>
        </is>
      </c>
    </row>
    <row r="9">
      <c r="A9" s="7" t="inlineStr">
        <is>
          <t>to control the heating time</t>
        </is>
      </c>
      <c r="B9" s="7" t="n">
        <v>300</v>
      </c>
      <c r="C9" s="7" t="n">
        <v>0</v>
      </c>
      <c r="D9" s="8">
        <f>B9*C9</f>
        <v/>
      </c>
      <c r="E9" s="8">
        <f>IF(D9&lt;=0,IF(B9&gt;=$C$5,1,0),1-NORM.DIST($C$5,B9,D9,TRUE))</f>
        <v/>
      </c>
      <c r="F9" s="8">
        <f>IF(D9&lt;=0,IF(B9&lt;=$D$5,1,0),NORM.DIST($D$5,B9,D9,TRUE))</f>
        <v/>
      </c>
      <c r="G9" s="8">
        <f>MAX(0,1-E9-F9)</f>
        <v/>
      </c>
      <c r="H9" s="8">
        <f>(IF(E9&gt;0,-E9*LOG(E9,2),0)+IF(F9&gt;0,-F9*LOG(F9,2),0)+IF(G9&gt;0,-G9*LOG(G9,2),0))/$E$5</f>
        <v/>
      </c>
    </row>
    <row r="10">
      <c r="A10" s="7" t="inlineStr">
        <is>
          <t>to boil water</t>
        </is>
      </c>
      <c r="B10" s="7" t="n">
        <v>498.3854934422909</v>
      </c>
      <c r="C10" s="7" t="n">
        <v>0.00453841386883845</v>
      </c>
      <c r="D10" s="8">
        <f>B10*C10</f>
        <v/>
      </c>
      <c r="E10" s="8">
        <f>IF(D10&lt;=0,IF(B10&gt;=$C$5,1,0),1-NORM.DIST($C$5,B10,D10,TRUE))</f>
        <v/>
      </c>
      <c r="F10" s="8">
        <f>IF(D10&lt;=0,IF(B10&lt;=$D$5,1,0),NORM.DIST($D$5,B10,D10,TRUE))</f>
        <v/>
      </c>
      <c r="G10" s="8">
        <f>MAX(0,1-E10-F10)</f>
        <v/>
      </c>
      <c r="H10" s="8">
        <f>(IF(E10&gt;0,-E10*LOG(E10,2),0)+IF(F10&gt;0,-F10*LOG(F10,2),0)+IF(G10&gt;0,-G10*LOG(G10,2),0))/$E$5</f>
        <v/>
      </c>
    </row>
    <row r="11">
      <c r="A11" s="7" t="inlineStr">
        <is>
          <t>to set the target temperature</t>
        </is>
      </c>
      <c r="B11" s="7" t="n">
        <v>100</v>
      </c>
      <c r="C11" s="7" t="n">
        <v>0</v>
      </c>
      <c r="D11" s="8">
        <f>B11*C11</f>
        <v/>
      </c>
      <c r="E11" s="8">
        <f>IF(D11&lt;=0,IF(B11&gt;=$C$5,1,0),1-NORM.DIST($C$5,B11,D11,TRUE))</f>
        <v/>
      </c>
      <c r="F11" s="8">
        <f>IF(D11&lt;=0,IF(B11&lt;=$D$5,1,0),NORM.DIST($D$5,B11,D11,TRUE))</f>
        <v/>
      </c>
      <c r="G11" s="8">
        <f>MAX(0,1-E11-F11)</f>
        <v/>
      </c>
      <c r="H11" s="8">
        <f>(IF(E11&gt;0,-E11*LOG(E11,2),0)+IF(F11&gt;0,-F11*LOG(F11,2),0)+IF(G11&gt;0,-G11*LOG(G11,2),0))/$E$5</f>
        <v/>
      </c>
    </row>
    <row r="12">
      <c r="A12" s="7" t="inlineStr">
        <is>
          <t>to control the time it is allowed to stew</t>
        </is>
      </c>
      <c r="B12" s="7" t="n">
        <v>3</v>
      </c>
      <c r="C12" s="7" t="n">
        <v>0</v>
      </c>
      <c r="D12" s="8">
        <f>B12*C12</f>
        <v/>
      </c>
      <c r="E12" s="8">
        <f>IF(D12&lt;=0,IF(B12&gt;=$C$5,1,0),1-NORM.DIST($C$5,B12,D12,TRUE))</f>
        <v/>
      </c>
      <c r="F12" s="8">
        <f>IF(D12&lt;=0,IF(B12&lt;=$D$5,1,0),NORM.DIST($D$5,B12,D12,TRUE))</f>
        <v/>
      </c>
      <c r="G12" s="8">
        <f>MAX(0,1-E12-F12)</f>
        <v/>
      </c>
      <c r="H12" s="8">
        <f>(IF(E12&gt;0,-E12*LOG(E12,2),0)+IF(F12&gt;0,-F12*LOG(F12,2),0)+IF(G12&gt;0,-G12*LOG(G12,2),0))/$E$5</f>
        <v/>
      </c>
    </row>
    <row r="13">
      <c r="A13" s="7" t="inlineStr">
        <is>
          <t>to pour onto tea leaves</t>
        </is>
      </c>
      <c r="B13" s="7" t="n">
        <v>47.46373360572682</v>
      </c>
      <c r="C13" s="7" t="n">
        <v>0.1191372582620364</v>
      </c>
      <c r="D13" s="8">
        <f>B13*C13</f>
        <v/>
      </c>
      <c r="E13" s="8">
        <f>IF(D13&lt;=0,IF(B13&gt;=$C$5,1,0),1-NORM.DIST($C$5,B13,D13,TRUE))</f>
        <v/>
      </c>
      <c r="F13" s="8">
        <f>IF(D13&lt;=0,IF(B13&lt;=$D$5,1,0),NORM.DIST($D$5,B13,D13,TRUE))</f>
        <v/>
      </c>
      <c r="G13" s="8">
        <f>MAX(0,1-E13-F13)</f>
        <v/>
      </c>
      <c r="H13" s="8">
        <f>(IF(E13&gt;0,-E13*LOG(E13,2),0)+IF(F13&gt;0,-F13*LOG(F13,2),0)+IF(G13&gt;0,-G13*LOG(G13,2),0))/$E$5</f>
        <v/>
      </c>
    </row>
    <row r="14">
      <c r="A14" s="7" t="inlineStr">
        <is>
          <t>to fill with a quantity of water</t>
        </is>
      </c>
      <c r="B14" s="7" t="n">
        <v>1000</v>
      </c>
      <c r="C14" s="7" t="n">
        <v>0</v>
      </c>
      <c r="D14" s="8">
        <f>B14*C14</f>
        <v/>
      </c>
      <c r="E14" s="8">
        <f>IF(D14&lt;=0,IF(B14&gt;=$C$5,1,0),1-NORM.DIST($C$5,B14,D14,TRUE))</f>
        <v/>
      </c>
      <c r="F14" s="8">
        <f>IF(D14&lt;=0,IF(B14&lt;=$D$5,1,0),NORM.DIST($D$5,B14,D14,TRUE))</f>
        <v/>
      </c>
      <c r="G14" s="8">
        <f>MAX(0,1-E14-F14)</f>
        <v/>
      </c>
      <c r="H14" s="8">
        <f>(IF(E14&gt;0,-E14*LOG(E14,2),0)+IF(F14&gt;0,-F14*LOG(F14,2),0)+IF(G14&gt;0,-G14*LOG(G14,2),0))/$E$5</f>
        <v/>
      </c>
    </row>
    <row r="15">
      <c r="A15" s="7" t="inlineStr">
        <is>
          <t>to supply kettle</t>
        </is>
      </c>
      <c r="B15" s="7" t="n">
        <v>1000</v>
      </c>
      <c r="C15" s="7" t="n">
        <v>0</v>
      </c>
      <c r="D15" s="8">
        <f>B15*C15</f>
        <v/>
      </c>
      <c r="E15" s="8">
        <f>IF(D15&lt;=0,IF(B15&gt;=$C$5,1,0),1-NORM.DIST($C$5,B15,D15,TRUE))</f>
        <v/>
      </c>
      <c r="F15" s="8">
        <f>IF(D15&lt;=0,IF(B15&lt;=$D$5,1,0),NORM.DIST($D$5,B15,D15,TRUE))</f>
        <v/>
      </c>
      <c r="G15" s="8">
        <f>MAX(0,1-E15-F15)</f>
        <v/>
      </c>
      <c r="H15" s="8">
        <f>(IF(E15&gt;0,-E15*LOG(E15,2),0)+IF(F15&gt;0,-F15*LOG(F15,2),0)+IF(G15&gt;0,-G15*LOG(G15,2),0))/$E$5</f>
        <v/>
      </c>
    </row>
    <row r="17">
      <c r="A17" s="12" t="inlineStr">
        <is>
          <t>System ITD (average)</t>
        </is>
      </c>
      <c r="H17" s="10">
        <f>AVERAGE(H9:H15)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Rank</t>
        </is>
      </c>
      <c r="B1" s="1" t="inlineStr">
        <is>
          <t>Function ID</t>
        </is>
      </c>
      <c r="C1" s="1" t="inlineStr">
        <is>
          <t>CV</t>
        </is>
      </c>
      <c r="D1" s="1" t="inlineStr">
        <is>
          <t>Mean (μ)</t>
        </is>
      </c>
      <c r="E1" s="1" t="inlineStr">
        <is>
          <t>Norm Score (formula)</t>
        </is>
      </c>
      <c r="F1" s="1" t="inlineStr">
        <is>
          <t>Cum. Score (formula)</t>
        </is>
      </c>
      <c r="G1" s="1" t="inlineStr">
        <is>
          <t>Percentile (formula)</t>
        </is>
      </c>
    </row>
    <row r="2">
      <c r="A2" s="7" t="n">
        <v>1</v>
      </c>
      <c r="B2" s="7" t="inlineStr">
        <is>
          <t>to pour onto tea leaves</t>
        </is>
      </c>
      <c r="C2" s="7" t="n">
        <v>0.1191372582620364</v>
      </c>
      <c r="D2" s="7" t="n">
        <v>47.46373360572682</v>
      </c>
      <c r="E2" s="8">
        <f>IF(SUM(C$2:C$8)=0,0,C2/SUM(C$2:C$8))</f>
        <v/>
      </c>
      <c r="F2" s="8">
        <f>E2</f>
        <v/>
      </c>
      <c r="G2" s="11">
        <f>A2/7</f>
        <v/>
      </c>
    </row>
    <row r="3">
      <c r="A3" s="7" t="n">
        <v>2</v>
      </c>
      <c r="B3" s="7" t="inlineStr">
        <is>
          <t>to boil water</t>
        </is>
      </c>
      <c r="C3" s="7" t="n">
        <v>0.00453841386883845</v>
      </c>
      <c r="D3" s="7" t="n">
        <v>498.3854934422909</v>
      </c>
      <c r="E3" s="8">
        <f>IF(SUM(C$2:C$8)=0,0,C3/SUM(C$2:C$8))</f>
        <v/>
      </c>
      <c r="F3" s="8">
        <f>F2+E3</f>
        <v/>
      </c>
      <c r="G3" s="11">
        <f>A3/7</f>
        <v/>
      </c>
    </row>
    <row r="4">
      <c r="A4" s="7" t="n">
        <v>3</v>
      </c>
      <c r="B4" s="7" t="inlineStr">
        <is>
          <t>to control the heating time</t>
        </is>
      </c>
      <c r="C4" s="7" t="n">
        <v>0</v>
      </c>
      <c r="D4" s="7" t="n">
        <v>300</v>
      </c>
      <c r="E4" s="8">
        <f>IF(SUM(C$2:C$8)=0,0,C4/SUM(C$2:C$8))</f>
        <v/>
      </c>
      <c r="F4" s="8">
        <f>F3+E4</f>
        <v/>
      </c>
      <c r="G4" s="11">
        <f>A4/7</f>
        <v/>
      </c>
    </row>
    <row r="5">
      <c r="A5" s="7" t="n">
        <v>4</v>
      </c>
      <c r="B5" s="7" t="inlineStr">
        <is>
          <t>to set the target temperature</t>
        </is>
      </c>
      <c r="C5" s="7" t="n">
        <v>0</v>
      </c>
      <c r="D5" s="7" t="n">
        <v>100</v>
      </c>
      <c r="E5" s="8">
        <f>IF(SUM(C$2:C$8)=0,0,C5/SUM(C$2:C$8))</f>
        <v/>
      </c>
      <c r="F5" s="8">
        <f>F4+E5</f>
        <v/>
      </c>
      <c r="G5" s="11">
        <f>A5/7</f>
        <v/>
      </c>
    </row>
    <row r="6">
      <c r="A6" s="7" t="n">
        <v>5</v>
      </c>
      <c r="B6" s="7" t="inlineStr">
        <is>
          <t>to control the time it is allowed to stew</t>
        </is>
      </c>
      <c r="C6" s="7" t="n">
        <v>0</v>
      </c>
      <c r="D6" s="7" t="n">
        <v>3</v>
      </c>
      <c r="E6" s="8">
        <f>IF(SUM(C$2:C$8)=0,0,C6/SUM(C$2:C$8))</f>
        <v/>
      </c>
      <c r="F6" s="8">
        <f>F5+E6</f>
        <v/>
      </c>
      <c r="G6" s="11">
        <f>A6/7</f>
        <v/>
      </c>
    </row>
    <row r="7">
      <c r="A7" s="7" t="n">
        <v>6</v>
      </c>
      <c r="B7" s="7" t="inlineStr">
        <is>
          <t>to fill with a quantity of water</t>
        </is>
      </c>
      <c r="C7" s="7" t="n">
        <v>0</v>
      </c>
      <c r="D7" s="7" t="n">
        <v>1000</v>
      </c>
      <c r="E7" s="8">
        <f>IF(SUM(C$2:C$8)=0,0,C7/SUM(C$2:C$8))</f>
        <v/>
      </c>
      <c r="F7" s="8">
        <f>F6+E7</f>
        <v/>
      </c>
      <c r="G7" s="11">
        <f>A7/7</f>
        <v/>
      </c>
    </row>
    <row r="8">
      <c r="A8" s="7" t="n">
        <v>7</v>
      </c>
      <c r="B8" s="7" t="inlineStr">
        <is>
          <t>to supply kettle</t>
        </is>
      </c>
      <c r="C8" s="7" t="n">
        <v>0</v>
      </c>
      <c r="D8" s="7" t="n">
        <v>1000</v>
      </c>
      <c r="E8" s="8">
        <f>IF(SUM(C$2:C$8)=0,0,C8/SUM(C$2:C$8))</f>
        <v/>
      </c>
      <c r="F8" s="8">
        <f>F7+E8</f>
        <v/>
      </c>
      <c r="G8" s="11">
        <f>A8/7</f>
        <v/>
      </c>
    </row>
    <row r="10">
      <c r="B10" s="9" t="inlineStr">
        <is>
          <t>Top Contributor</t>
        </is>
      </c>
      <c r="C10" s="10">
        <f>B2</f>
        <v/>
      </c>
    </row>
    <row r="11">
      <c r="B11" t="inlineStr">
        <is>
          <t>Top CV</t>
        </is>
      </c>
      <c r="C11" s="10">
        <f>C2</f>
        <v/>
      </c>
    </row>
    <row r="12">
      <c r="B12" t="inlineStr">
        <is>
          <t>Bottom CV</t>
        </is>
      </c>
      <c r="C12" s="10">
        <f>C8</f>
        <v/>
      </c>
    </row>
    <row r="13">
      <c r="B13" t="inlineStr">
        <is>
          <t>Top 20% CV Share</t>
        </is>
      </c>
      <c r="C13" s="13">
        <f>IF(SUM(C$2:C$8)=0,0,SUM(C$2:C$2)/SUM(C$2:C$8))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20" customWidth="1" min="4" max="4"/>
  </cols>
  <sheetData>
    <row r="1">
      <c r="A1" s="14" t="inlineStr">
        <is>
          <t>Entropy Synchronization 2.0 — Bellman-Picard Convergence</t>
        </is>
      </c>
      <c r="B1" s="14" t="n"/>
      <c r="C1" s="14" t="n"/>
      <c r="D1" s="14" t="n"/>
    </row>
    <row r="3">
      <c r="A3" s="1" t="inlineStr">
        <is>
          <t>Property</t>
        </is>
      </c>
      <c r="B3" s="1" t="inlineStr">
        <is>
          <t>Value</t>
        </is>
      </c>
    </row>
    <row r="4">
      <c r="A4" s="7" t="inlineStr">
        <is>
          <t>Convergence Method</t>
        </is>
      </c>
      <c r="B4" s="7" t="inlineStr">
        <is>
          <t>Bellman-Picard</t>
        </is>
      </c>
    </row>
    <row r="5">
      <c r="A5" s="7" t="inlineStr">
        <is>
          <t>Was Recursive</t>
        </is>
      </c>
      <c r="B5" s="7" t="inlineStr">
        <is>
          <t>True</t>
        </is>
      </c>
    </row>
    <row r="6">
      <c r="A6" s="7" t="inlineStr">
        <is>
          <t>Convergence Iterations</t>
        </is>
      </c>
      <c r="B6" s="7" t="n">
        <v>7</v>
      </c>
    </row>
    <row r="7">
      <c r="A7" s="7" t="inlineStr">
        <is>
          <t>Convergence Residual</t>
        </is>
      </c>
      <c r="B7" s="7" t="n">
        <v>7.528621403934954e-07</v>
      </c>
    </row>
    <row r="8">
      <c r="A8" s="7" t="inlineStr">
        <is>
          <t>Amplification Factor</t>
        </is>
      </c>
      <c r="B8" s="7" t="n">
        <v>1.009285324659871</v>
      </c>
    </row>
    <row r="9">
      <c r="A9" s="7" t="inlineStr">
        <is>
          <t>Max Iterations (config)</t>
        </is>
      </c>
      <c r="B9" s="7" t="n">
        <v>20</v>
      </c>
    </row>
    <row r="10">
      <c r="A10" s="7" t="inlineStr">
        <is>
          <t>Epsilon (config)</t>
        </is>
      </c>
      <c r="B10" s="7" t="n">
        <v>1e-06</v>
      </c>
    </row>
    <row r="11">
      <c r="A11" s="7" t="inlineStr">
        <is>
          <t>Damping (config)</t>
        </is>
      </c>
      <c r="B11" s="7" t="n">
        <v>0.7</v>
      </c>
    </row>
    <row r="12">
      <c r="A12" s="7" t="inlineStr">
        <is>
          <t>Participating Functions</t>
        </is>
      </c>
      <c r="B12" s="7" t="n">
        <v>2</v>
      </c>
    </row>
    <row r="14">
      <c r="A14" s="14" t="inlineStr">
        <is>
          <t>Amplification Analysis</t>
        </is>
      </c>
      <c r="B14" s="14" t="n"/>
      <c r="C14" s="14" t="n"/>
      <c r="D14" s="14" t="n"/>
    </row>
    <row r="15">
      <c r="A15" t="inlineStr">
        <is>
          <t>Amplification Factor</t>
        </is>
      </c>
      <c r="B15" s="7" t="n">
        <v>1.009285324659871</v>
      </c>
    </row>
    <row r="16">
      <c r="A16" t="inlineStr">
        <is>
          <t>Interpretation</t>
        </is>
      </c>
      <c r="B16" s="7" t="inlineStr">
        <is>
          <t>Minor amplification — small network effect</t>
        </is>
      </c>
    </row>
    <row r="18">
      <c r="A18" s="9" t="inlineStr">
        <is>
          <t>FlowFRAM Description</t>
        </is>
      </c>
    </row>
    <row r="19">
      <c r="A19" t="inlineStr">
        <is>
          <t>Iterative BP converged in 7 iterations (residual=7.5e-7). Network amplification: 1.01×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>
      <c r="A1" s="14" t="inlineStr">
        <is>
          <t>REI Non-Linear Composition — Factor Interaction Analysis</t>
        </is>
      </c>
      <c r="B1" s="14" t="n"/>
      <c r="C1" s="14" t="n"/>
      <c r="D1" s="14" t="n"/>
    </row>
    <row r="3">
      <c r="A3" s="1" t="inlineStr">
        <is>
          <t>Factor</t>
        </is>
      </c>
      <c r="B3" s="1" t="inlineStr">
        <is>
          <t>Value</t>
        </is>
      </c>
    </row>
    <row r="4">
      <c r="A4" s="7" t="inlineStr">
        <is>
          <t>FOV (Function Output Variability)</t>
        </is>
      </c>
      <c r="B4" s="7" t="n">
        <v>0.0175127900259332</v>
      </c>
    </row>
    <row r="5">
      <c r="A5" s="7" t="inlineStr">
        <is>
          <t>FRC (Functional Resonance Coupling)</t>
        </is>
      </c>
      <c r="B5" s="7" t="n">
        <v>0.9999999999999998</v>
      </c>
    </row>
    <row r="6">
      <c r="A6" s="7" t="inlineStr">
        <is>
          <t>ES (Entropy Synchronization)</t>
        </is>
      </c>
      <c r="B6" s="7" t="n">
        <v>0.03120601022478442</v>
      </c>
    </row>
    <row r="8">
      <c r="A8" s="9" t="inlineStr">
        <is>
          <t>Linear REI</t>
        </is>
      </c>
      <c r="B8" s="7" t="n">
        <v>0.6408335679278129</v>
      </c>
      <c r="C8" s="8">
        <f>B4+B5+B6</f>
        <v/>
      </c>
    </row>
    <row r="10">
      <c r="A10" s="14" t="inlineStr">
        <is>
          <t>Interaction Terms</t>
        </is>
      </c>
      <c r="B10" s="14" t="n"/>
      <c r="C10" s="14" t="n"/>
      <c r="D10" s="14" t="n"/>
    </row>
    <row r="11">
      <c r="A11" s="1" t="inlineStr">
        <is>
          <t>Term</t>
        </is>
      </c>
      <c r="B11" s="1" t="inlineStr">
        <is>
          <t>Value</t>
        </is>
      </c>
      <c r="C11" s="1" t="inlineStr">
        <is>
          <t>Formula Check</t>
        </is>
      </c>
    </row>
    <row r="12">
      <c r="A12" s="7" t="inlineStr">
        <is>
          <t>FOV × FRC</t>
        </is>
      </c>
      <c r="B12" s="7" t="n">
        <v>0.0008756395012966599</v>
      </c>
      <c r="C12" s="8">
        <f>B4*B5</f>
        <v/>
      </c>
    </row>
    <row r="13">
      <c r="A13" s="7" t="inlineStr">
        <is>
          <t>FOV × ES</t>
        </is>
      </c>
      <c r="B13" s="7" t="n">
        <v>2.732521523068871e-05</v>
      </c>
      <c r="C13" s="8">
        <f>B4*B6</f>
        <v/>
      </c>
    </row>
    <row r="14">
      <c r="A14" s="7" t="inlineStr">
        <is>
          <t>FRC × ES</t>
        </is>
      </c>
      <c r="B14" s="7" t="n">
        <v>0.001560300511239221</v>
      </c>
      <c r="C14" s="8">
        <f>B5*B6</f>
        <v/>
      </c>
    </row>
    <row r="15">
      <c r="A15" s="9" t="inlineStr">
        <is>
          <t>Total Interactions</t>
        </is>
      </c>
      <c r="B15" s="7" t="n">
        <v>0.002463265227766569</v>
      </c>
      <c r="C15" s="8">
        <f>SUM(B12:B14)</f>
        <v/>
      </c>
    </row>
    <row r="17">
      <c r="A17" s="12" t="inlineStr">
        <is>
          <t>Non-Linear REI</t>
        </is>
      </c>
      <c r="B17" s="10" t="n">
        <v>0.6432968331555794</v>
      </c>
      <c r="C17" s="10">
        <f>B8+B15</f>
        <v/>
      </c>
    </row>
    <row r="18">
      <c r="A18" t="inlineStr">
        <is>
          <t>Interaction % of Total</t>
        </is>
      </c>
      <c r="B18" s="15" t="n">
        <v>0.3843845502244422</v>
      </c>
      <c r="C18" s="16">
        <f>IF(B17=0,0,B15/B17*100)</f>
        <v/>
      </c>
    </row>
    <row r="20">
      <c r="A20" t="inlineStr">
        <is>
          <t>FlowFRAM NL-REI (reference)</t>
        </is>
      </c>
      <c r="B20" s="7" t="n">
        <v>0.6432968331555794</v>
      </c>
    </row>
    <row r="21">
      <c r="A21" t="inlineStr">
        <is>
          <t>Spreadsheet NL-REI</t>
        </is>
      </c>
      <c r="B21" s="8">
        <f>C17</f>
        <v/>
      </c>
    </row>
    <row r="22">
      <c r="A22" t="inlineStr">
        <is>
          <t>Match?</t>
        </is>
      </c>
      <c r="B22" s="8">
        <f>IF(ABS(B20-B21)&lt;0.001,"✓ MATCH","✗ MISMATCH")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Entropy Rate — Per-Function Convergence Trends</t>
        </is>
      </c>
      <c r="B1" s="14" t="n"/>
      <c r="C1" s="14" t="n"/>
      <c r="D1" s="14" t="n"/>
      <c r="E1" s="14" t="n"/>
      <c r="F1" s="14" t="n"/>
      <c r="G1" s="14" t="n"/>
    </row>
    <row r="3">
      <c r="A3" s="9" t="inlineStr">
        <is>
          <t>System Entropy Rate</t>
        </is>
      </c>
      <c r="B3" s="7" t="n">
        <v>0</v>
      </c>
    </row>
    <row r="4">
      <c r="A4" t="inlineStr">
        <is>
          <t>System Trend</t>
        </is>
      </c>
      <c r="B4" s="7" t="inlineStr">
        <is>
          <t>stable</t>
        </is>
      </c>
    </row>
    <row r="5">
      <c r="A5" s="9" t="inlineStr">
        <is>
          <t>Trends Breakdown</t>
        </is>
      </c>
      <c r="B5" t="inlineStr">
        <is>
          <t>↑ 0</t>
        </is>
      </c>
      <c r="C5" t="inlineStr">
        <is>
          <t>↓ 0</t>
        </is>
      </c>
      <c r="D5" t="inlineStr">
        <is>
          <t>→ 0</t>
        </is>
      </c>
      <c r="E5" t="inlineStr">
        <is>
          <t>NEW 7</t>
        </is>
      </c>
    </row>
    <row r="7">
      <c r="A7" s="14" t="inlineStr">
        <is>
          <t>Per-Function Details</t>
        </is>
      </c>
      <c r="B7" s="14" t="n"/>
      <c r="C7" s="14" t="n"/>
      <c r="D7" s="14" t="n"/>
      <c r="E7" s="14" t="n"/>
      <c r="F7" s="14" t="n"/>
      <c r="G7" s="14" t="n"/>
    </row>
    <row r="8">
      <c r="A8" s="1" t="inlineStr">
        <is>
          <t>Function ID</t>
        </is>
      </c>
      <c r="B8" s="1" t="inlineStr">
        <is>
          <t>Current CV</t>
        </is>
      </c>
      <c r="C8" s="1" t="inlineStr">
        <is>
          <t>Previous CV</t>
        </is>
      </c>
      <c r="D8" s="1" t="inlineStr">
        <is>
          <t>Rate (formula)</t>
        </is>
      </c>
      <c r="E8" s="1" t="inlineStr">
        <is>
          <t>Trend</t>
        </is>
      </c>
      <c r="F8" s="1" t="inlineStr">
        <is>
          <t>|Rate| (formula)</t>
        </is>
      </c>
      <c r="G8" s="1" t="inlineStr">
        <is>
          <t>Converging? (formula)</t>
        </is>
      </c>
    </row>
    <row r="9">
      <c r="A9" s="7" t="inlineStr">
        <is>
          <t>to control the heating time</t>
        </is>
      </c>
      <c r="B9" s="7" t="n">
        <v>0</v>
      </c>
      <c r="C9" s="7" t="n">
        <v>0</v>
      </c>
      <c r="D9" s="8">
        <f>B9-C9</f>
        <v/>
      </c>
      <c r="E9" s="7" t="inlineStr">
        <is>
          <t>new</t>
        </is>
      </c>
      <c r="F9" s="8">
        <f>ABS(D9)</f>
        <v/>
      </c>
      <c r="G9" s="8">
        <f>IF(D9&lt;-0.001,"✓ Converging",IF(D9&gt;0.001,"⚠ Diverging","→ Stable"))</f>
        <v/>
      </c>
    </row>
    <row r="10">
      <c r="A10" s="7" t="inlineStr">
        <is>
          <t>to boil water</t>
        </is>
      </c>
      <c r="B10" s="7" t="n">
        <v>0.00453841386883845</v>
      </c>
      <c r="C10" s="7" t="n">
        <v>0</v>
      </c>
      <c r="D10" s="8">
        <f>B10-C10</f>
        <v/>
      </c>
      <c r="E10" s="7" t="inlineStr">
        <is>
          <t>new</t>
        </is>
      </c>
      <c r="F10" s="8">
        <f>ABS(D10)</f>
        <v/>
      </c>
      <c r="G10" s="8">
        <f>IF(D10&lt;-0.001,"✓ Converging",IF(D10&gt;0.001,"⚠ Diverging","→ Stable"))</f>
        <v/>
      </c>
    </row>
    <row r="11">
      <c r="A11" s="7" t="inlineStr">
        <is>
          <t>to set the target temperature</t>
        </is>
      </c>
      <c r="B11" s="7" t="n">
        <v>0</v>
      </c>
      <c r="C11" s="7" t="n">
        <v>0</v>
      </c>
      <c r="D11" s="8">
        <f>B11-C11</f>
        <v/>
      </c>
      <c r="E11" s="7" t="inlineStr">
        <is>
          <t>new</t>
        </is>
      </c>
      <c r="F11" s="8">
        <f>ABS(D11)</f>
        <v/>
      </c>
      <c r="G11" s="8">
        <f>IF(D11&lt;-0.001,"✓ Converging",IF(D11&gt;0.001,"⚠ Diverging","→ Stable"))</f>
        <v/>
      </c>
    </row>
    <row r="12">
      <c r="A12" s="7" t="inlineStr">
        <is>
          <t>to control the time it is allowed to stew</t>
        </is>
      </c>
      <c r="B12" s="7" t="n">
        <v>0</v>
      </c>
      <c r="C12" s="7" t="n">
        <v>0</v>
      </c>
      <c r="D12" s="8">
        <f>B12-C12</f>
        <v/>
      </c>
      <c r="E12" s="7" t="inlineStr">
        <is>
          <t>new</t>
        </is>
      </c>
      <c r="F12" s="8">
        <f>ABS(D12)</f>
        <v/>
      </c>
      <c r="G12" s="8">
        <f>IF(D12&lt;-0.001,"✓ Converging",IF(D12&gt;0.001,"⚠ Diverging","→ Stable"))</f>
        <v/>
      </c>
    </row>
    <row r="13">
      <c r="A13" s="7" t="inlineStr">
        <is>
          <t>to pour onto tea leaves</t>
        </is>
      </c>
      <c r="B13" s="7" t="n">
        <v>0.1191372582620364</v>
      </c>
      <c r="C13" s="7" t="n">
        <v>0</v>
      </c>
      <c r="D13" s="8">
        <f>B13-C13</f>
        <v/>
      </c>
      <c r="E13" s="7" t="inlineStr">
        <is>
          <t>new</t>
        </is>
      </c>
      <c r="F13" s="8">
        <f>ABS(D13)</f>
        <v/>
      </c>
      <c r="G13" s="8">
        <f>IF(D13&lt;-0.001,"✓ Converging",IF(D13&gt;0.001,"⚠ Diverging","→ Stable"))</f>
        <v/>
      </c>
    </row>
    <row r="14">
      <c r="A14" s="7" t="inlineStr">
        <is>
          <t>to fill with a quantity of water</t>
        </is>
      </c>
      <c r="B14" s="7" t="n">
        <v>0</v>
      </c>
      <c r="C14" s="7" t="n">
        <v>0</v>
      </c>
      <c r="D14" s="8">
        <f>B14-C14</f>
        <v/>
      </c>
      <c r="E14" s="7" t="inlineStr">
        <is>
          <t>new</t>
        </is>
      </c>
      <c r="F14" s="8">
        <f>ABS(D14)</f>
        <v/>
      </c>
      <c r="G14" s="8">
        <f>IF(D14&lt;-0.001,"✓ Converging",IF(D14&gt;0.001,"⚠ Diverging","→ Stable"))</f>
        <v/>
      </c>
    </row>
    <row r="15">
      <c r="A15" s="7" t="inlineStr">
        <is>
          <t>to supply kettle</t>
        </is>
      </c>
      <c r="B15" s="7" t="n">
        <v>0</v>
      </c>
      <c r="C15" s="7" t="n">
        <v>0</v>
      </c>
      <c r="D15" s="8">
        <f>B15-C15</f>
        <v/>
      </c>
      <c r="E15" s="7" t="inlineStr">
        <is>
          <t>new</t>
        </is>
      </c>
      <c r="F15" s="8">
        <f>ABS(D15)</f>
        <v/>
      </c>
      <c r="G15" s="8">
        <f>IF(D15&lt;-0.001,"✓ Converging",IF(D15&gt;0.001,"⚠ Diverging","→ Stable"))</f>
        <v/>
      </c>
    </row>
    <row r="17">
      <c r="A17" s="9" t="inlineStr">
        <is>
          <t>Avg |Rate|</t>
        </is>
      </c>
      <c r="F17" s="10">
        <f>AVERAGE(F9:F15)</f>
        <v/>
      </c>
    </row>
    <row r="18">
      <c r="A18" t="inlineStr">
        <is>
          <t>Converging Count</t>
        </is>
      </c>
      <c r="G18" s="8">
        <f>COUNTIF(G9:G15,"✓*")</f>
        <v/>
      </c>
    </row>
    <row r="19">
      <c r="A19" t="inlineStr">
        <is>
          <t>Diverging Count</t>
        </is>
      </c>
      <c r="G19" s="8">
        <f>COUNTIF(G9:G15,"⚠*")</f>
        <v/>
      </c>
    </row>
    <row r="21">
      <c r="A21" t="inlineStr">
        <is>
          <t>FlowFRAM System Rate (ref)</t>
        </is>
      </c>
      <c r="D21" s="7" t="n">
        <v>0</v>
      </c>
    </row>
    <row r="22">
      <c r="A22" t="inlineStr">
        <is>
          <t>Spreadsheet Avg Rate</t>
        </is>
      </c>
      <c r="D22" s="10">
        <f>AVERAGE(D9:D15)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4" t="inlineStr">
        <is>
          <t>Transfer Entropy — Causal Information Flow Analysis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</row>
    <row r="2">
      <c r="A2" s="1" t="inlineStr">
        <is>
          <t>Upstream</t>
        </is>
      </c>
      <c r="B2" s="1" t="inlineStr">
        <is>
          <t>Downstream</t>
        </is>
      </c>
      <c r="C2" s="1" t="inlineStr">
        <is>
          <t>Aspect</t>
        </is>
      </c>
      <c r="D2" s="1" t="inlineStr">
        <is>
          <t>Forward TE</t>
        </is>
      </c>
      <c r="E2" s="1" t="inlineStr">
        <is>
          <t>Reverse TE</t>
        </is>
      </c>
      <c r="F2" s="1" t="inlineStr">
        <is>
          <t>Net TE (formula)</t>
        </is>
      </c>
      <c r="G2" s="1" t="inlineStr">
        <is>
          <t>Direction (formula)</t>
        </is>
      </c>
      <c r="H2" s="1" t="inlineStr">
        <is>
          <t>Confidence</t>
        </is>
      </c>
      <c r="I2" s="1" t="inlineStr">
        <is>
          <t>|Net TE| (formula)</t>
        </is>
      </c>
    </row>
    <row r="3">
      <c r="A3" s="7" t="inlineStr">
        <is>
          <t>to boil water</t>
        </is>
      </c>
      <c r="B3" s="7" t="inlineStr">
        <is>
          <t>to pour onto tea leaves</t>
        </is>
      </c>
      <c r="C3" s="7" t="inlineStr">
        <is>
          <t>input</t>
        </is>
      </c>
      <c r="D3" s="7" t="n">
        <v>0</v>
      </c>
      <c r="E3" s="7" t="n">
        <v>0</v>
      </c>
      <c r="F3" s="8">
        <f>D3-E3</f>
        <v/>
      </c>
      <c r="G3" s="8">
        <f>IF(ABS(F3)&lt;0.01,"symmetric",IF(F3&gt;0,"confirmed","reversed"))</f>
        <v/>
      </c>
      <c r="H3" s="7" t="inlineStr">
        <is>
          <t>high</t>
        </is>
      </c>
      <c r="I3" s="8">
        <f>ABS(F3)</f>
        <v/>
      </c>
    </row>
    <row r="5">
      <c r="A5" s="12" t="inlineStr">
        <is>
          <t>SUMMARY</t>
        </is>
      </c>
    </row>
    <row r="6">
      <c r="A6" t="inlineStr">
        <is>
          <t>Total Couplings</t>
        </is>
      </c>
      <c r="D6" s="8">
        <f>COUNTA(D3:D3)</f>
        <v/>
      </c>
    </row>
    <row r="7">
      <c r="A7" t="inlineStr">
        <is>
          <t>Avg Forward TE</t>
        </is>
      </c>
      <c r="D7" s="8">
        <f>AVERAGE(D3:D3)</f>
        <v/>
      </c>
    </row>
    <row r="8">
      <c r="A8" t="inlineStr">
        <is>
          <t>Avg Reverse TE</t>
        </is>
      </c>
      <c r="E8" s="8">
        <f>AVERAGE(E3:E3)</f>
        <v/>
      </c>
    </row>
    <row r="9">
      <c r="A9" t="inlineStr">
        <is>
          <t>Avg Net TE</t>
        </is>
      </c>
      <c r="F9" s="10">
        <f>AVERAGE(F3:F3)</f>
        <v/>
      </c>
    </row>
    <row r="10">
      <c r="A10" t="inlineStr">
        <is>
          <t>Causal Confirmed</t>
        </is>
      </c>
      <c r="G10" s="8">
        <f>COUNTIF(G3:G3,"confirmed")</f>
        <v/>
      </c>
    </row>
    <row r="11">
      <c r="A11" t="inlineStr">
        <is>
          <t>Causal Reversed</t>
        </is>
      </c>
      <c r="G11" s="8">
        <f>COUNTIF(G3:G3,"reversed")</f>
        <v/>
      </c>
    </row>
    <row r="12">
      <c r="A12" t="inlineStr">
        <is>
          <t>Symmetric</t>
        </is>
      </c>
      <c r="G12" s="8">
        <f>COUNTIF(G3:G3,"symmetric")</f>
        <v/>
      </c>
    </row>
    <row r="14">
      <c r="A14" s="9" t="inlineStr">
        <is>
          <t>FlowFRAM TE Summary (reference)</t>
        </is>
      </c>
    </row>
    <row r="15">
      <c r="A15" s="7" t="inlineStr">
        <is>
          <t>Total Couplings</t>
        </is>
      </c>
      <c r="B15" s="7" t="n">
        <v>1</v>
      </c>
    </row>
    <row r="16">
      <c r="A16" s="7" t="inlineStr">
        <is>
          <t>Causal Confirmed</t>
        </is>
      </c>
      <c r="B16" s="7" t="n">
        <v>0</v>
      </c>
    </row>
    <row r="17">
      <c r="A17" s="7" t="inlineStr">
        <is>
          <t>Causal Reversed</t>
        </is>
      </c>
      <c r="B17" s="7" t="n">
        <v>0</v>
      </c>
    </row>
    <row r="18">
      <c r="A18" s="7" t="inlineStr">
        <is>
          <t>Symmetric</t>
        </is>
      </c>
      <c r="B18" s="7" t="n">
        <v>1</v>
      </c>
    </row>
    <row r="19">
      <c r="A19" s="7" t="inlineStr">
        <is>
          <t>Avg Forward TE</t>
        </is>
      </c>
      <c r="B19" s="7" t="n">
        <v>0</v>
      </c>
    </row>
    <row r="20">
      <c r="A20" s="7" t="inlineStr">
        <is>
          <t>Avg Reverse TE</t>
        </is>
      </c>
      <c r="B20" s="7" t="n">
        <v>0</v>
      </c>
    </row>
    <row r="21">
      <c r="A21" s="7" t="inlineStr">
        <is>
          <t>Avg Net TE</t>
        </is>
      </c>
      <c r="B21" s="7" t="n">
        <v>0</v>
      </c>
    </row>
    <row r="22">
      <c r="A22" s="7" t="inlineStr">
        <is>
          <t>Confidence</t>
        </is>
      </c>
      <c r="B22" s="7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StdDev</t>
        </is>
      </c>
      <c r="E1" s="1" t="inlineStr">
        <is>
          <t>CV (formula)</t>
        </is>
      </c>
      <c r="F1" s="1" t="inlineStr">
        <is>
          <t>CV% (formula)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Range (formula)</t>
        </is>
      </c>
      <c r="J1" s="1" t="inlineStr">
        <is>
          <t>P5</t>
        </is>
      </c>
      <c r="K1" s="1" t="inlineStr">
        <is>
          <t>P25</t>
        </is>
      </c>
      <c r="L1" s="1" t="inlineStr">
        <is>
          <t>Median (P50)</t>
        </is>
      </c>
      <c r="M1" s="1" t="inlineStr">
        <is>
          <t>P75</t>
        </is>
      </c>
      <c r="N1" s="1" t="inlineStr">
        <is>
          <t>P95</t>
        </is>
      </c>
    </row>
    <row r="2">
      <c r="A2" s="7" t="inlineStr">
        <is>
          <t>QUANTITY_g</t>
        </is>
      </c>
      <c r="B2" s="7" t="n">
        <v>100</v>
      </c>
      <c r="C2" s="7" t="n">
        <v>1000</v>
      </c>
      <c r="D2" s="7" t="n">
        <v>0</v>
      </c>
      <c r="E2" s="8">
        <f>IF(C2=0,"N/A",D2/C2)</f>
        <v/>
      </c>
      <c r="F2" s="8">
        <f>IF(C2=0,"N/A",E2*100)</f>
        <v/>
      </c>
      <c r="G2" s="7" t="n">
        <v>1000</v>
      </c>
      <c r="H2" s="7" t="n">
        <v>1000</v>
      </c>
      <c r="I2" s="8">
        <f>H2-G2</f>
        <v/>
      </c>
      <c r="J2" s="7" t="n">
        <v>1000</v>
      </c>
      <c r="K2" s="7" t="n">
        <v>1000</v>
      </c>
      <c r="L2" s="7" t="n">
        <v>1000</v>
      </c>
      <c r="M2" s="7" t="n">
        <v>1000</v>
      </c>
      <c r="N2" s="7" t="n">
        <v>1000</v>
      </c>
    </row>
    <row r="3">
      <c r="A3" s="7" t="inlineStr">
        <is>
          <t>Capacity_J_gC</t>
        </is>
      </c>
      <c r="B3" s="7" t="n">
        <v>100</v>
      </c>
      <c r="C3" s="7" t="n">
        <v>4.184</v>
      </c>
      <c r="D3" s="7" t="n">
        <v>0</v>
      </c>
      <c r="E3" s="8">
        <f>IF(C3=0,"N/A",D3/C3)</f>
        <v/>
      </c>
      <c r="F3" s="8">
        <f>IF(C3=0,"N/A",E3*100)</f>
        <v/>
      </c>
      <c r="G3" s="7" t="n">
        <v>4.184</v>
      </c>
      <c r="H3" s="7" t="n">
        <v>4.184</v>
      </c>
      <c r="I3" s="8">
        <f>H3-G3</f>
        <v/>
      </c>
      <c r="J3" s="7" t="n">
        <v>4.184</v>
      </c>
      <c r="K3" s="7" t="n">
        <v>4.184</v>
      </c>
      <c r="L3" s="7" t="n">
        <v>4.184</v>
      </c>
      <c r="M3" s="7" t="n">
        <v>4.184</v>
      </c>
      <c r="N3" s="7" t="n">
        <v>4.184</v>
      </c>
    </row>
    <row r="4">
      <c r="A4" s="7" t="inlineStr">
        <is>
          <t>TEMP_START_C</t>
        </is>
      </c>
      <c r="B4" s="7" t="n">
        <v>100</v>
      </c>
      <c r="C4" s="7" t="n">
        <v>20.22574637015344</v>
      </c>
      <c r="D4" s="7" t="n">
        <v>11.36637283604221</v>
      </c>
      <c r="E4" s="8">
        <f>IF(C4=0,"N/A",D4/C4)</f>
        <v/>
      </c>
      <c r="F4" s="8">
        <f>IF(C4=0,"N/A",E4*100)</f>
        <v/>
      </c>
      <c r="G4" s="7" t="n">
        <v>-8.479710820225907</v>
      </c>
      <c r="H4" s="7" t="n">
        <v>48.23767165909609</v>
      </c>
      <c r="I4" s="8">
        <f>H4-G4</f>
        <v/>
      </c>
      <c r="J4" s="7" t="n">
        <v>-0.07736933800698154</v>
      </c>
      <c r="K4" s="7" t="n">
        <v>13.59356524561831</v>
      </c>
      <c r="L4" s="7" t="n">
        <v>21.16199367400509</v>
      </c>
      <c r="M4" s="7" t="n">
        <v>26.33788835802256</v>
      </c>
      <c r="N4" s="7" t="n">
        <v>38.09399702760343</v>
      </c>
    </row>
    <row r="5">
      <c r="A5" s="7" t="inlineStr">
        <is>
          <t>TEMPERATURE</t>
        </is>
      </c>
      <c r="B5" s="7" t="n">
        <v>100</v>
      </c>
      <c r="C5" s="7" t="n">
        <v>91.92746721145366</v>
      </c>
      <c r="D5" s="7" t="n">
        <v>11.36637283604221</v>
      </c>
      <c r="E5" s="8">
        <f>IF(C5=0,"N/A",D5/C5)</f>
        <v/>
      </c>
      <c r="F5" s="8">
        <f>IF(C5=0,"N/A",E5*100)</f>
        <v/>
      </c>
      <c r="G5" s="7" t="n">
        <v>63.22201002107428</v>
      </c>
      <c r="H5" s="7" t="n">
        <v>119.9393925003963</v>
      </c>
      <c r="I5" s="8">
        <f>H5-G5</f>
        <v/>
      </c>
      <c r="J5" s="7" t="n">
        <v>71.62435150329321</v>
      </c>
      <c r="K5" s="7" t="n">
        <v>85.29528608691849</v>
      </c>
      <c r="L5" s="7" t="n">
        <v>92.86371451530528</v>
      </c>
      <c r="M5" s="7" t="n">
        <v>98.03960919932275</v>
      </c>
      <c r="N5" s="7" t="n">
        <v>109.7957178689036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2026-03-10T10:11:01Z</dcterms:created>
  <dcterms:modified xmlns:dcterms="http://purl.org/dc/terms/" xmlns:xsi="http://www.w3.org/2001/XMLSchema-instance" xsi:type="dcterms:W3CDTF">2026-03-10T10:11:01Z</dcterms:modified>
</cp:coreProperties>
</file>