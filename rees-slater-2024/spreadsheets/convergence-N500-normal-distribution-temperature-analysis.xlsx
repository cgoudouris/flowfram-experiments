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convergence-N500-normal-distribution-temperature</t>
        </is>
      </c>
    </row>
    <row r="4">
      <c r="A4" s="2" t="inlineStr">
        <is>
          <t>Export Date</t>
        </is>
      </c>
      <c r="B4" s="2" t="inlineStr">
        <is>
          <t>2026-03-09T18:44:56.664Z</t>
        </is>
      </c>
    </row>
    <row r="5">
      <c r="A5" s="2" t="inlineStr">
        <is>
          <t>Generation Date</t>
        </is>
      </c>
      <c r="B5" s="2" t="inlineStr">
        <is>
          <t>2026-03-10T07:11:01.796340</t>
        </is>
      </c>
    </row>
    <row r="6">
      <c r="A6" s="2" t="inlineStr">
        <is>
          <t>Iterations</t>
        </is>
      </c>
      <c r="B6" s="2" t="n">
        <v>500</v>
      </c>
    </row>
    <row r="7">
      <c r="A7" s="2" t="inlineStr">
        <is>
          <t>Current Iteration</t>
        </is>
      </c>
      <c r="B7" s="2" t="n">
        <v>500</v>
      </c>
    </row>
    <row r="8">
      <c r="A8" s="2" t="inlineStr">
        <is>
          <t>REI</t>
        </is>
      </c>
      <c r="B8" s="2" t="n">
        <v>0.6424983264669044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500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498.4015492778755</v>
      </c>
      <c r="C3" s="7" t="n">
        <v>2.07970816948654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500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500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500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47.50387319468911</v>
      </c>
      <c r="C6" s="7" t="n">
        <v>5.199270423716352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500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500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500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0.1000000000000001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0.004297030839716031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0.002415106778957643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0.6424983264669044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1.000000000000001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1500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1000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500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500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1.000000000000001</v>
      </c>
      <c r="E3" s="7" t="inlineStr">
        <is>
          <t>amplifying</t>
        </is>
      </c>
      <c r="F3" s="8">
        <f>PRODUCT(G3)</f>
        <v/>
      </c>
      <c r="G3" t="n">
        <v>1.000000000000001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1.000000000000001</v>
      </c>
      <c r="C8" s="7" t="n">
        <v>0</v>
      </c>
      <c r="D8" s="8">
        <f>IF(B8=0,0,1-(ABS(C8)/ABS(B8)))</f>
        <v/>
      </c>
      <c r="E8" s="7" t="n">
        <v>0.109449400102761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421.2722032103664</v>
      </c>
      <c r="B5" t="n">
        <v>429.8018609210276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498.4015492778755</v>
      </c>
      <c r="C10" s="7" t="n">
        <v>0.004172756229389314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47.50387319468911</v>
      </c>
      <c r="C13" s="7" t="n">
        <v>0.109449400102761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0.109449400102761</v>
      </c>
      <c r="D2" s="7" t="n">
        <v>47.50387319468911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0.004172756229389314</v>
      </c>
      <c r="D3" s="7" t="n">
        <v>498.4015492778755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6.018441957994503e-07</v>
      </c>
    </row>
    <row r="8">
      <c r="A8" s="7" t="inlineStr">
        <is>
          <t>Amplification Factor</t>
        </is>
      </c>
      <c r="B8" s="7" t="n">
        <v>1.008495990202139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1.008495990202139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(residual=6.0e-7).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0.01610071185971762</v>
      </c>
    </row>
    <row r="5">
      <c r="A5" s="7" t="inlineStr">
        <is>
          <t>FRC (Functional Resonance Coupling)</t>
        </is>
      </c>
      <c r="B5" s="7" t="n">
        <v>1.000000000000001</v>
      </c>
    </row>
    <row r="6">
      <c r="A6" s="7" t="inlineStr">
        <is>
          <t>ES (Entropy Synchronization)</t>
        </is>
      </c>
      <c r="B6" s="7" t="n">
        <v>0.02864687226477354</v>
      </c>
    </row>
    <row r="8">
      <c r="A8" s="9" t="inlineStr">
        <is>
          <t>Linear REI</t>
        </is>
      </c>
      <c r="B8" s="7" t="n">
        <v>0.6402378855088789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0.0008050355929858819</v>
      </c>
      <c r="C12" s="8">
        <f>B4*B5</f>
        <v/>
      </c>
    </row>
    <row r="13">
      <c r="A13" s="7" t="inlineStr">
        <is>
          <t>FOV × ES</t>
        </is>
      </c>
      <c r="B13" s="7" t="n">
        <v>2.306175180086276e-05</v>
      </c>
      <c r="C13" s="8">
        <f>B4*B6</f>
        <v/>
      </c>
    </row>
    <row r="14">
      <c r="A14" s="7" t="inlineStr">
        <is>
          <t>FRC × ES</t>
        </is>
      </c>
      <c r="B14" s="7" t="n">
        <v>0.001432343613238679</v>
      </c>
      <c r="C14" s="8">
        <f>B5*B6</f>
        <v/>
      </c>
    </row>
    <row r="15">
      <c r="A15" s="9" t="inlineStr">
        <is>
          <t>Total Interactions</t>
        </is>
      </c>
      <c r="B15" s="7" t="n">
        <v>0.002260440958025424</v>
      </c>
      <c r="C15" s="8">
        <f>SUM(B12:B14)</f>
        <v/>
      </c>
    </row>
    <row r="17">
      <c r="A17" s="12" t="inlineStr">
        <is>
          <t>Non-Linear REI</t>
        </is>
      </c>
      <c r="B17" s="10" t="n">
        <v>0.6424983264669044</v>
      </c>
      <c r="C17" s="10">
        <f>B8+B15</f>
        <v/>
      </c>
    </row>
    <row r="18">
      <c r="A18" t="inlineStr">
        <is>
          <t>Interaction % of Total</t>
        </is>
      </c>
      <c r="B18" s="15" t="n">
        <v>0.3530626676721516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0.6424983264669044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0.004172756229389314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0.109449400102761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500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500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500</v>
      </c>
      <c r="C4" s="7" t="n">
        <v>20.30602554807804</v>
      </c>
      <c r="D4" s="7" t="n">
        <v>10.40895501213334</v>
      </c>
      <c r="E4" s="8">
        <f>IF(C4=0,"N/A",D4/C4)</f>
        <v/>
      </c>
      <c r="F4" s="8">
        <f>IF(C4=0,"N/A",E4*100)</f>
        <v/>
      </c>
      <c r="G4" s="7" t="n">
        <v>-5.845968063549797</v>
      </c>
      <c r="H4" s="7" t="n">
        <v>45.77539176362814</v>
      </c>
      <c r="I4" s="8">
        <f>H4-G4</f>
        <v/>
      </c>
      <c r="J4" s="7" t="n">
        <v>2.55928423687104</v>
      </c>
      <c r="K4" s="7" t="n">
        <v>13.41762256943959</v>
      </c>
      <c r="L4" s="7" t="n">
        <v>20.27950711069535</v>
      </c>
      <c r="M4" s="7" t="n">
        <v>27.03316198458076</v>
      </c>
      <c r="N4" s="7" t="n">
        <v>37.95857453370571</v>
      </c>
    </row>
    <row r="5">
      <c r="A5" s="7" t="inlineStr">
        <is>
          <t>TEMPERATURE</t>
        </is>
      </c>
      <c r="B5" s="7" t="n">
        <v>500</v>
      </c>
      <c r="C5" s="7" t="n">
        <v>92.00774638937821</v>
      </c>
      <c r="D5" s="7" t="n">
        <v>10.40895501213334</v>
      </c>
      <c r="E5" s="8">
        <f>IF(C5=0,"N/A",D5/C5)</f>
        <v/>
      </c>
      <c r="F5" s="8">
        <f>IF(C5=0,"N/A",E5*100)</f>
        <v/>
      </c>
      <c r="G5" s="7" t="n">
        <v>65.85575277775038</v>
      </c>
      <c r="H5" s="7" t="n">
        <v>117.4771126049283</v>
      </c>
      <c r="I5" s="8">
        <f>H5-G5</f>
        <v/>
      </c>
      <c r="J5" s="7" t="n">
        <v>74.26100507817124</v>
      </c>
      <c r="K5" s="7" t="n">
        <v>85.11934341073977</v>
      </c>
      <c r="L5" s="7" t="n">
        <v>91.98122795199554</v>
      </c>
      <c r="M5" s="7" t="n">
        <v>98.73488282588094</v>
      </c>
      <c r="N5" s="7" t="n">
        <v>109.6602953750059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2026-03-10T10:11:01Z</dcterms:created>
  <dcterms:modified xmlns:dcterms="http://purl.org/dc/terms/" xmlns:xsi="http://www.w3.org/2001/XMLSchema-instance" xsi:type="dcterms:W3CDTF">2026-03-10T10:11:01Z</dcterms:modified>
</cp:coreProperties>
</file>