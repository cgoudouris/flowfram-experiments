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normal-distribution-temperature</t>
        </is>
      </c>
    </row>
    <row r="4">
      <c r="A4" s="2" t="inlineStr">
        <is>
          <t>Export Date</t>
        </is>
      </c>
      <c r="B4" s="2" t="inlineStr">
        <is>
          <t>2026-03-09T17:12:33.519Z</t>
        </is>
      </c>
    </row>
    <row r="5">
      <c r="A5" s="2" t="inlineStr">
        <is>
          <t>Generation Date</t>
        </is>
      </c>
      <c r="B5" s="2" t="inlineStr">
        <is>
          <t>2026-03-10T07:11:02.086280</t>
        </is>
      </c>
    </row>
    <row r="6">
      <c r="A6" s="2" t="inlineStr">
        <is>
          <t>Iterations</t>
        </is>
      </c>
      <c r="B6" s="2" t="n">
        <v>10000</v>
      </c>
    </row>
    <row r="7">
      <c r="A7" s="2" t="inlineStr">
        <is>
          <t>Current Iteration</t>
        </is>
      </c>
      <c r="B7" s="2" t="n">
        <v>10000</v>
      </c>
    </row>
    <row r="8">
      <c r="A8" s="2" t="inlineStr">
        <is>
          <t>REI</t>
        </is>
      </c>
      <c r="B8" s="2" t="n">
        <v>0.6422761252085948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498.3180919940343</v>
      </c>
      <c r="C3" s="7" t="n">
        <v>2.019917283847497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47.29522998509039</v>
      </c>
      <c r="C6" s="7" t="n">
        <v>5.049793209618742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0.1000000000000003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0.00419020352026465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0.00235612506264119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0.6422761252085948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1.000000000000003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1.000000000000003</v>
      </c>
      <c r="E3" s="7" t="inlineStr">
        <is>
          <t>amplifying</t>
        </is>
      </c>
      <c r="F3" s="8">
        <f>PRODUCT(G3)</f>
        <v/>
      </c>
      <c r="G3" t="n">
        <v>1.000000000000003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1.000000000000003</v>
      </c>
      <c r="C8" s="7" t="n">
        <v>0</v>
      </c>
      <c r="D8" s="8">
        <f>IF(B8=0,0,1-(ABS(C8)/ABS(B8)))</f>
        <v/>
      </c>
      <c r="E8" s="7" t="n">
        <v>0.1067717233050916</v>
      </c>
      <c r="F8" s="7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421.2304745684464</v>
      </c>
      <c r="B5" t="n">
        <v>429.8296117168227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498.3180919940343</v>
      </c>
      <c r="C10" s="7" t="n">
        <v>0.0040534696939554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47.29522998509039</v>
      </c>
      <c r="C13" s="7" t="n">
        <v>0.1067717233050916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0.1067717233050916</v>
      </c>
      <c r="D2" s="7" t="n">
        <v>47.29522998509039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0.0040534696939554</v>
      </c>
      <c r="D3" s="7" t="n">
        <v>498.3180919940343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7</v>
      </c>
    </row>
    <row r="7">
      <c r="A7" s="7" t="inlineStr">
        <is>
          <t>Convergence Residual</t>
        </is>
      </c>
      <c r="B7" s="7" t="n">
        <v>5.614113010310451e-07</v>
      </c>
    </row>
    <row r="8">
      <c r="A8" s="7" t="inlineStr">
        <is>
          <t>Amplification Factor</t>
        </is>
      </c>
      <c r="B8" s="7" t="n">
        <v>1.008243320102782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1.008243320102782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7 iterations (residual=5.6e-7). Network amplification: 1.01×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0.01570750041760793</v>
      </c>
    </row>
    <row r="5">
      <c r="A5" s="7" t="inlineStr">
        <is>
          <t>FRC (Functional Resonance Coupling)</t>
        </is>
      </c>
      <c r="B5" s="7" t="n">
        <v>1.000000000000003</v>
      </c>
    </row>
    <row r="6">
      <c r="A6" s="7" t="inlineStr">
        <is>
          <t>ES (Entropy Synchronization)</t>
        </is>
      </c>
      <c r="B6" s="7" t="n">
        <v>0.02793469013509767</v>
      </c>
    </row>
    <row r="8">
      <c r="A8" s="9" t="inlineStr">
        <is>
          <t>Linear REI</t>
        </is>
      </c>
      <c r="B8" s="7" t="n">
        <v>0.6400720764731114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0.000785375020880399</v>
      </c>
      <c r="C12" s="8">
        <f>B4*B5</f>
        <v/>
      </c>
    </row>
    <row r="13">
      <c r="A13" s="7" t="inlineStr">
        <is>
          <t>FOV × ES</t>
        </is>
      </c>
      <c r="B13" s="7" t="n">
        <v>2.193920784813974e-05</v>
      </c>
      <c r="C13" s="8">
        <f>B4*B6</f>
        <v/>
      </c>
    </row>
    <row r="14">
      <c r="A14" s="7" t="inlineStr">
        <is>
          <t>FRC × ES</t>
        </is>
      </c>
      <c r="B14" s="7" t="n">
        <v>0.001396734506754888</v>
      </c>
      <c r="C14" s="8">
        <f>B5*B6</f>
        <v/>
      </c>
    </row>
    <row r="15">
      <c r="A15" s="9" t="inlineStr">
        <is>
          <t>Total Interactions</t>
        </is>
      </c>
      <c r="B15" s="7" t="n">
        <v>0.002204048735483426</v>
      </c>
      <c r="C15" s="8">
        <f>SUM(B12:B14)</f>
        <v/>
      </c>
    </row>
    <row r="17">
      <c r="A17" s="12" t="inlineStr">
        <is>
          <t>Non-Linear REI</t>
        </is>
      </c>
      <c r="B17" s="10" t="n">
        <v>0.6422761252085948</v>
      </c>
      <c r="C17" s="10">
        <f>B8+B15</f>
        <v/>
      </c>
    </row>
    <row r="18">
      <c r="A18" t="inlineStr">
        <is>
          <t>Interaction % of Total</t>
        </is>
      </c>
      <c r="B18" s="15" t="n">
        <v>0.3443438350924555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0.6422761252085948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0.0040534696939554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0.1067717233050916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10000</v>
      </c>
      <c r="C4" s="7" t="n">
        <v>19.88873912888067</v>
      </c>
      <c r="D4" s="7" t="n">
        <v>10.10009143643507</v>
      </c>
      <c r="E4" s="8">
        <f>IF(C4=0,"N/A",D4/C4)</f>
        <v/>
      </c>
      <c r="F4" s="8">
        <f>IF(C4=0,"N/A",E4*100)</f>
        <v/>
      </c>
      <c r="G4" s="7" t="n">
        <v>-18.63191131175861</v>
      </c>
      <c r="H4" s="7" t="n">
        <v>56.28875801119893</v>
      </c>
      <c r="I4" s="8">
        <f>H4-G4</f>
        <v/>
      </c>
      <c r="J4" s="7" t="n">
        <v>3.199574431883527</v>
      </c>
      <c r="K4" s="7" t="n">
        <v>13.03467169828585</v>
      </c>
      <c r="L4" s="7" t="n">
        <v>19.83974112940442</v>
      </c>
      <c r="M4" s="7" t="n">
        <v>26.80514082617582</v>
      </c>
      <c r="N4" s="7" t="n">
        <v>36.46317654939383</v>
      </c>
    </row>
    <row r="5">
      <c r="A5" s="7" t="inlineStr">
        <is>
          <t>TEMPERATURE</t>
        </is>
      </c>
      <c r="B5" s="7" t="n">
        <v>10000</v>
      </c>
      <c r="C5" s="7" t="n">
        <v>91.59045997018093</v>
      </c>
      <c r="D5" s="7" t="n">
        <v>10.10009143643505</v>
      </c>
      <c r="E5" s="8">
        <f>IF(C5=0,"N/A",D5/C5)</f>
        <v/>
      </c>
      <c r="F5" s="8">
        <f>IF(C5=0,"N/A",E5*100)</f>
        <v/>
      </c>
      <c r="G5" s="7" t="n">
        <v>53.06980952954157</v>
      </c>
      <c r="H5" s="7" t="n">
        <v>127.9904788524991</v>
      </c>
      <c r="I5" s="8">
        <f>H5-G5</f>
        <v/>
      </c>
      <c r="J5" s="7" t="n">
        <v>74.90129527318371</v>
      </c>
      <c r="K5" s="7" t="n">
        <v>84.73639253958603</v>
      </c>
      <c r="L5" s="7" t="n">
        <v>91.5414619707046</v>
      </c>
      <c r="M5" s="7" t="n">
        <v>98.50686166747602</v>
      </c>
      <c r="N5" s="7" t="n">
        <v>108.164897390694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2026-03-10T10:11:02Z</dcterms:created>
  <dcterms:modified xmlns:dcterms="http://purl.org/dc/terms/" xmlns:xsi="http://www.w3.org/2001/XMLSchema-instance" xsi:type="dcterms:W3CDTF">2026-03-10T10:11:02Z</dcterms:modified>
</cp:coreProperties>
</file>